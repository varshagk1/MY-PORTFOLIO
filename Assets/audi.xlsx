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ivot table sheet" sheetId="2" r:id="rId1"/>
    <sheet name="audit" sheetId="1" r:id="rId2"/>
  </sheets>
  <externalReferences>
    <externalReference r:id="rId4"/>
  </externalReferenc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<sst xmlns="http://schemas.openxmlformats.org/spreadsheetml/2006/main" count="154" uniqueCount="88">
  <si>
    <t>Expense Date</t>
  </si>
  <si>
    <t>(ALL)</t>
  </si>
  <si>
    <t>PivotChart</t>
  </si>
  <si>
    <t>Chart type</t>
  </si>
  <si>
    <t>Summary</t>
  </si>
  <si>
    <t>1. Employee-wise Expense Analysis</t>
  </si>
  <si>
    <t>Column Chart</t>
  </si>
  <si>
    <t>Bruce recorded the highest expenses at ₹15,000, followed by Arjun at ₹12,000.</t>
  </si>
  <si>
    <t>2. Policy Compliance Analysis</t>
  </si>
  <si>
    <t>Pie Chart</t>
  </si>
  <si>
    <t>7 claims (70%) are within policy limits, while 3 claims (30%) exceeded the limits.</t>
  </si>
  <si>
    <t>Emp Name</t>
  </si>
  <si>
    <t>Sum of Amount ()</t>
  </si>
  <si>
    <t>Arjun</t>
  </si>
  <si>
    <t>Bruce</t>
  </si>
  <si>
    <t>Policy check</t>
  </si>
  <si>
    <t>Count of Policy check</t>
  </si>
  <si>
    <t>Diya</t>
  </si>
  <si>
    <t>Exceeded</t>
  </si>
  <si>
    <t>Kumar</t>
  </si>
  <si>
    <t>Within Limit</t>
  </si>
  <si>
    <t>Loki</t>
  </si>
  <si>
    <t>Grand Total</t>
  </si>
  <si>
    <t>Peter</t>
  </si>
  <si>
    <t>Ram</t>
  </si>
  <si>
    <t>Steve</t>
  </si>
  <si>
    <t>Tony</t>
  </si>
  <si>
    <t>Varsha</t>
  </si>
  <si>
    <t>4.Category-wise Expense Analysis</t>
  </si>
  <si>
    <t>Hotel expenses are highest at ₹33,500, followed by Travel at ₹16,200 and Food at ₹3,500</t>
  </si>
  <si>
    <t>Category</t>
  </si>
  <si>
    <t>3. Expense Risk Analysis</t>
  </si>
  <si>
    <t>6 claims (60%) are low risk, while 4 claims (40%) are high risk.</t>
  </si>
  <si>
    <t>Food</t>
  </si>
  <si>
    <t>Hotel</t>
  </si>
  <si>
    <t>Risk Level</t>
  </si>
  <si>
    <t>Count of Risk Level</t>
  </si>
  <si>
    <t>Travel</t>
  </si>
  <si>
    <t>High</t>
  </si>
  <si>
    <t>Low</t>
  </si>
  <si>
    <t>Column1</t>
  </si>
  <si>
    <t>Column2</t>
  </si>
  <si>
    <t>Column3</t>
  </si>
  <si>
    <t>5. Expense Claim Resolution Status</t>
  </si>
  <si>
    <t>6 claims (60%) are completed, while 4 claims (40%) are pending review.</t>
  </si>
  <si>
    <t>Resolution Status</t>
  </si>
  <si>
    <t>Receipt Check</t>
  </si>
  <si>
    <t>Count of Audit Status</t>
  </si>
  <si>
    <t>Completed</t>
  </si>
  <si>
    <t>Pending Review</t>
  </si>
  <si>
    <t>Available</t>
  </si>
  <si>
    <t>Count of Resolution Status</t>
  </si>
  <si>
    <t>Missing</t>
  </si>
  <si>
    <t>Policy</t>
  </si>
  <si>
    <t>Claim ID</t>
  </si>
  <si>
    <t>Emp ID</t>
  </si>
  <si>
    <t>Department</t>
  </si>
  <si>
    <t>Amount ()</t>
  </si>
  <si>
    <t>Receipt</t>
  </si>
  <si>
    <t>Duplicate Check</t>
  </si>
  <si>
    <t>Audit Status</t>
  </si>
  <si>
    <t>Auditor Remarks</t>
  </si>
  <si>
    <t>CLM001</t>
  </si>
  <si>
    <t>EMP001</t>
  </si>
  <si>
    <t>IT</t>
  </si>
  <si>
    <t>Yes</t>
  </si>
  <si>
    <t>CLM002</t>
  </si>
  <si>
    <t>EMP002</t>
  </si>
  <si>
    <t>HR</t>
  </si>
  <si>
    <t>No</t>
  </si>
  <si>
    <t>CLM003</t>
  </si>
  <si>
    <t>EMP003</t>
  </si>
  <si>
    <t>Finance</t>
  </si>
  <si>
    <t>CLM004</t>
  </si>
  <si>
    <t>CLM005</t>
  </si>
  <si>
    <t>EMP004</t>
  </si>
  <si>
    <t>Sales</t>
  </si>
  <si>
    <t>CLM006</t>
  </si>
  <si>
    <t>EMP005</t>
  </si>
  <si>
    <t>Data Science</t>
  </si>
  <si>
    <t>CLM007</t>
  </si>
  <si>
    <t>EMP006</t>
  </si>
  <si>
    <t>Operations</t>
  </si>
  <si>
    <t>CLM008</t>
  </si>
  <si>
    <t>CLM009</t>
  </si>
  <si>
    <t>EMP007</t>
  </si>
  <si>
    <t>CLM010</t>
  </si>
  <si>
    <t>EMP008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</si>
</sst>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4" tint="0.79998168889431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3" borderId="15" applyNumberFormat="0" applyAlignment="0" applyProtection="0">
      <alignment vertical="center"/>
    </xf>
    <xf numFmtId="0" fontId="19" fillId="13" borderId="14" applyNumberFormat="0" applyAlignment="0" applyProtection="0">
      <alignment vertical="center"/>
    </xf>
    <xf numFmtId="0" fontId="20" fillId="14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0" fillId="3" borderId="4" xfId="0" applyNumberFormat="1" applyFont="1" applyFill="1" applyBorder="1" applyAlignment="1" applyProtection="1">
      <alignment vertical="center" wrapText="1"/>
    </xf>
    <xf numFmtId="0" fontId="0" fillId="3" borderId="5" xfId="0" applyNumberFormat="1" applyFont="1" applyFill="1" applyBorder="1" applyAlignment="1" applyProtection="1">
      <alignment vertical="center" wrapText="1"/>
    </xf>
    <xf numFmtId="58" fontId="0" fillId="3" borderId="5" xfId="0" applyNumberFormat="1" applyFont="1" applyFill="1" applyBorder="1" applyAlignment="1" applyProtection="1">
      <alignment vertical="center" wrapText="1"/>
    </xf>
    <xf numFmtId="3" fontId="0" fillId="3" borderId="5" xfId="0" applyNumberFormat="1" applyFont="1" applyFill="1" applyBorder="1" applyAlignment="1" applyProtection="1">
      <alignment vertical="center" wrapText="1"/>
    </xf>
    <xf numFmtId="0" fontId="0" fillId="3" borderId="6" xfId="0" applyNumberFormat="1" applyFont="1" applyFill="1" applyBorder="1" applyAlignment="1" applyProtection="1">
      <alignment vertical="center" wrapText="1"/>
    </xf>
    <xf numFmtId="0" fontId="0" fillId="0" borderId="4" xfId="0" applyNumberFormat="1" applyFont="1" applyFill="1" applyBorder="1" applyAlignment="1" applyProtection="1">
      <alignment vertical="center" wrapText="1"/>
    </xf>
    <xf numFmtId="0" fontId="0" fillId="0" borderId="5" xfId="0" applyNumberFormat="1" applyFont="1" applyFill="1" applyBorder="1" applyAlignment="1" applyProtection="1">
      <alignment vertical="center" wrapText="1"/>
    </xf>
    <xf numFmtId="58" fontId="0" fillId="0" borderId="5" xfId="0" applyNumberFormat="1" applyFont="1" applyFill="1" applyBorder="1" applyAlignment="1" applyProtection="1">
      <alignment vertical="center" wrapText="1"/>
    </xf>
    <xf numFmtId="3" fontId="0" fillId="0" borderId="5" xfId="0" applyNumberFormat="1" applyFont="1" applyFill="1" applyBorder="1" applyAlignment="1" applyProtection="1">
      <alignment vertical="center" wrapText="1"/>
    </xf>
    <xf numFmtId="0" fontId="0" fillId="0" borderId="6" xfId="0" applyNumberFormat="1" applyFont="1" applyFill="1" applyBorder="1" applyAlignment="1" applyProtection="1">
      <alignment vertical="center" wrapText="1"/>
    </xf>
    <xf numFmtId="0" fontId="0" fillId="0" borderId="7" xfId="0" applyNumberFormat="1" applyFont="1" applyFill="1" applyBorder="1" applyAlignment="1" applyProtection="1">
      <alignment vertical="center" wrapText="1"/>
    </xf>
    <xf numFmtId="0" fontId="0" fillId="0" borderId="8" xfId="0" applyNumberFormat="1" applyFont="1" applyFill="1" applyBorder="1" applyAlignment="1" applyProtection="1">
      <alignment vertical="center" wrapText="1"/>
    </xf>
    <xf numFmtId="58" fontId="0" fillId="0" borderId="8" xfId="0" applyNumberFormat="1" applyFont="1" applyFill="1" applyBorder="1" applyAlignment="1" applyProtection="1">
      <alignment vertical="center" wrapText="1"/>
    </xf>
    <xf numFmtId="3" fontId="0" fillId="0" borderId="8" xfId="0" applyNumberFormat="1" applyFont="1" applyFill="1" applyBorder="1" applyAlignment="1" applyProtection="1">
      <alignment vertical="center" wrapText="1"/>
    </xf>
    <xf numFmtId="0" fontId="0" fillId="0" borderId="9" xfId="0" applyNumberFormat="1" applyFont="1" applyFill="1" applyBorder="1" applyAlignment="1" applyProtection="1">
      <alignment vertical="center" wrapText="1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2" fillId="3" borderId="6" xfId="0" applyNumberFormat="1" applyFont="1" applyFill="1" applyBorder="1" applyAlignment="1" applyProtection="1">
      <alignment horizontal="center" vertical="center" wrapText="1"/>
    </xf>
    <xf numFmtId="0" fontId="3" fillId="4" borderId="0" xfId="0" applyFont="1" applyFill="1">
      <alignment vertical="center"/>
    </xf>
    <xf numFmtId="0" fontId="4" fillId="5" borderId="0" xfId="0" applyFont="1" applyFill="1" applyAlignment="1">
      <alignment horizontal="center" vertical="center" wrapText="1"/>
    </xf>
    <xf numFmtId="0" fontId="4" fillId="5" borderId="1" xfId="0" applyNumberFormat="1" applyFont="1" applyFill="1" applyBorder="1" applyAlignment="1" applyProtection="1">
      <alignment horizontal="center" vertical="center" wrapText="1"/>
    </xf>
    <xf numFmtId="0" fontId="4" fillId="5" borderId="2" xfId="0" applyNumberFormat="1" applyFont="1" applyFill="1" applyBorder="1" applyAlignment="1" applyProtection="1">
      <alignment horizontal="center" vertical="center" wrapText="1"/>
    </xf>
    <xf numFmtId="0" fontId="4" fillId="6" borderId="0" xfId="0" applyFont="1" applyFill="1" applyAlignment="1">
      <alignment vertical="center" wrapText="1"/>
    </xf>
    <xf numFmtId="0" fontId="4" fillId="6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4" borderId="8" xfId="0" applyNumberFormat="1" applyFont="1" applyFill="1" applyBorder="1" applyAlignment="1" applyProtection="1">
      <alignment vertical="center"/>
    </xf>
    <xf numFmtId="0" fontId="3" fillId="6" borderId="0" xfId="0" applyFont="1" applyFill="1">
      <alignment vertical="center"/>
    </xf>
    <xf numFmtId="0" fontId="4" fillId="7" borderId="0" xfId="0" applyFont="1" applyFill="1">
      <alignment vertical="center"/>
    </xf>
    <xf numFmtId="0" fontId="4" fillId="7" borderId="8" xfId="0" applyNumberFormat="1" applyFont="1" applyFill="1" applyBorder="1" applyAlignment="1" applyProtection="1">
      <alignment vertical="center"/>
    </xf>
    <xf numFmtId="0" fontId="4" fillId="5" borderId="0" xfId="0" applyFont="1" applyFill="1" applyAlignment="1">
      <alignment vertical="center" wrapText="1"/>
    </xf>
    <xf numFmtId="0" fontId="4" fillId="5" borderId="0" xfId="0" applyFont="1" applyFill="1">
      <alignment vertical="center"/>
    </xf>
    <xf numFmtId="0" fontId="1" fillId="8" borderId="10" xfId="0" applyNumberFormat="1" applyFont="1" applyFill="1" applyBorder="1" applyAlignment="1" applyProtection="1">
      <alignment vertical="center"/>
    </xf>
    <xf numFmtId="0" fontId="4" fillId="9" borderId="0" xfId="0" applyFont="1" applyFill="1" applyAlignment="1">
      <alignment vertical="center" wrapText="1"/>
    </xf>
    <xf numFmtId="0" fontId="4" fillId="9" borderId="0" xfId="0" applyFont="1" applyFill="1">
      <alignment vertical="center"/>
    </xf>
    <xf numFmtId="0" fontId="1" fillId="10" borderId="10" xfId="0" applyNumberFormat="1" applyFont="1" applyFill="1" applyBorder="1" applyAlignment="1" applyProtection="1">
      <alignment vertical="center"/>
    </xf>
    <xf numFmtId="0" fontId="5" fillId="7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5" borderId="3" xfId="0" applyNumberFormat="1" applyFont="1" applyFill="1" applyBorder="1" applyAlignment="1" applyProtection="1">
      <alignment horizontal="center" vertical="center" wrapText="1"/>
    </xf>
    <xf numFmtId="0" fontId="8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2">
    <dxf>
      <fill>
        <patternFill patternType="solid">
          <bgColor rgb="FF00206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7030A0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7030A0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font>
        <color theme="1" tint="0.05"/>
      </font>
    </dxf>
    <dxf>
      <fill>
        <patternFill patternType="solid">
          <bgColor theme="5" tint="-0.2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fill>
        <patternFill patternType="solid">
          <bgColor theme="9"/>
        </patternFill>
      </fill>
    </dxf>
    <dxf>
      <font>
        <color theme="0"/>
      </font>
    </dxf>
    <dxf>
      <font>
        <color theme="0"/>
      </font>
    </dxf>
    <dxf>
      <font>
        <color rgb="FF00B050"/>
      </font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1"/>
      </font>
    </dxf>
    <dxf>
      <font>
        <b val="1"/>
      </font>
    </dxf>
    <dxf>
      <font>
        <sz val="16"/>
      </font>
    </dxf>
    <dxf>
      <font>
        <sz val="16"/>
      </font>
    </dxf>
    <dxf>
      <font>
        <sz val="2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  <tableStyle name="PivotStylePreset2_Accent1" table="0" count="10" xr9:uid="{267968C8-6FFD-4C36-ACC1-9EA1FD1885CA}">
      <tableStyleElement type="headerRow" dxfId="61"/>
      <tableStyleElement type="totalRow" dxfId="60"/>
      <tableStyleElement type="firstRowStripe" dxfId="59"/>
      <tableStyleElement type="firstColumnStripe" dxfId="58"/>
      <tableStyleElement type="firstSubtotalRow" dxfId="57"/>
      <tableStyleElement type="secondSubtotalRow" dxfId="56"/>
      <tableStyleElement type="firstRowSubheading" dxfId="55"/>
      <tableStyleElement type="secondRowSubheading" dxfId="54"/>
      <tableStyleElement type="pageFieldLabels" dxfId="53"/>
      <tableStyleElement type="pageFieldValues" dxfId="52"/>
    </tableStyle>
  </tableStyles>
  <colors>
    <mruColors>
      <color rgb="00EB371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[audi.xlsx]pivot table sheet!PivotTable17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Employee-wise Expense Analysis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sheet'!$B$3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sheet'!$A$4:$A$14</c:f>
              <c:strCache>
                <c:ptCount val="10"/>
                <c:pt idx="0">
                  <c:v>Arjun</c:v>
                </c:pt>
                <c:pt idx="1">
                  <c:v>Bruce</c:v>
                </c:pt>
                <c:pt idx="2">
                  <c:v>Diya</c:v>
                </c:pt>
                <c:pt idx="3">
                  <c:v>Kumar</c:v>
                </c:pt>
                <c:pt idx="4">
                  <c:v>Loki</c:v>
                </c:pt>
                <c:pt idx="5">
                  <c:v>Peter</c:v>
                </c:pt>
                <c:pt idx="6">
                  <c:v>Ram</c:v>
                </c:pt>
                <c:pt idx="7">
                  <c:v>Steve</c:v>
                </c:pt>
                <c:pt idx="8">
                  <c:v>Tony</c:v>
                </c:pt>
                <c:pt idx="9">
                  <c:v>Varsha</c:v>
                </c:pt>
              </c:strCache>
            </c:strRef>
          </c:cat>
          <c:val>
            <c:numRef>
              <c:f>'pivot table sheet'!$B$4:$B$14</c:f>
              <c:numCache>
                <c:formatCode>General</c:formatCode>
                <c:ptCount val="10"/>
                <c:pt idx="0">
                  <c:v>12000</c:v>
                </c:pt>
                <c:pt idx="1">
                  <c:v>15000</c:v>
                </c:pt>
                <c:pt idx="2">
                  <c:v>750</c:v>
                </c:pt>
                <c:pt idx="3">
                  <c:v>2500</c:v>
                </c:pt>
                <c:pt idx="4">
                  <c:v>6500</c:v>
                </c:pt>
                <c:pt idx="5">
                  <c:v>950</c:v>
                </c:pt>
                <c:pt idx="6">
                  <c:v>2500</c:v>
                </c:pt>
                <c:pt idx="7">
                  <c:v>3200</c:v>
                </c:pt>
                <c:pt idx="8">
                  <c:v>8000</c:v>
                </c:pt>
                <c:pt idx="9">
                  <c:v>1800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63160909"/>
        <c:axId val="945937413"/>
      </c:barChart>
      <c:catAx>
        <c:axId val="1631609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937413"/>
        <c:crosses val="autoZero"/>
        <c:auto val="1"/>
        <c:lblAlgn val="ctr"/>
        <c:lblOffset val="100"/>
        <c:noMultiLvlLbl val="0"/>
      </c:catAx>
      <c:valAx>
        <c:axId val="94593741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1609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e92ff6-aa74-4ec7-981b-c00960846f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Expense Risk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{"High","Low"}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{4,6}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db869b-2dfd-41cd-b9fb-bd301959ba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200" b="1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[audi.xlsx]pivot table sheet!PivotTable23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Policy Compliance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sheet'!$H$5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sheet'!$G$6:$G$8</c:f>
              <c:strCache>
                <c:ptCount val="2"/>
                <c:pt idx="0">
                  <c:v>Exceeded</c:v>
                </c:pt>
                <c:pt idx="1">
                  <c:v>Within Limit</c:v>
                </c:pt>
              </c:strCache>
            </c:strRef>
          </c:cat>
          <c:val>
            <c:numRef>
              <c:f>'pivot table sheet'!$H$6:$H$8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5459d8-8332-4c96-b8e4-6ee5016aab1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Category-wise Expense Analysis</a:t>
            </a:r>
          </a:p>
        </c:rich>
      </c:tx>
      <c:layout>
        <c:manualLayout>
          <c:xMode val="edge"/>
          <c:yMode val="edge"/>
          <c:x val="0.331204956378809"/>
          <c:y val="0.03846153846153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7304768486524"/>
          <c:y val="0.323701197574075"/>
          <c:w val="0.653144436765722"/>
          <c:h val="0.3813095630442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{"Food","Hotel","Travel"}</c:f>
              <c:strCache>
                <c:ptCount val="3"/>
                <c:pt idx="0">
                  <c:v>Food</c:v>
                </c:pt>
                <c:pt idx="1">
                  <c:v>Hotel</c:v>
                </c:pt>
                <c:pt idx="2">
                  <c:v>Travel</c:v>
                </c:pt>
              </c:strCache>
            </c:strRef>
          </c:cat>
          <c:val>
            <c:numRef>
              <c:f>{3500,33500,16200}</c:f>
              <c:numCache>
                <c:formatCode>General</c:formatCode>
                <c:ptCount val="3"/>
                <c:pt idx="0">
                  <c:v>3500</c:v>
                </c:pt>
                <c:pt idx="1">
                  <c:v>33500</c:v>
                </c:pt>
                <c:pt idx="2">
                  <c:v>16200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871189366"/>
        <c:axId val="325239213"/>
      </c:barChart>
      <c:catAx>
        <c:axId val="8711893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239213"/>
        <c:crosses val="autoZero"/>
        <c:auto val="1"/>
        <c:lblAlgn val="ctr"/>
        <c:lblOffset val="100"/>
        <c:noMultiLvlLbl val="0"/>
      </c:catAx>
      <c:valAx>
        <c:axId val="3252392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1189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d38f00-1cc5-4bc5-b6cd-151d5fedef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68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{"Available","Missing"}</c:f>
              <c:strCache>
                <c:ptCount val="2"/>
                <c:pt idx="0">
                  <c:v>Available</c:v>
                </c:pt>
                <c:pt idx="1">
                  <c:v>Missing</c:v>
                </c:pt>
              </c:strCache>
            </c:strRef>
          </c:cat>
          <c:val>
            <c:numRef>
              <c:f>{8,2}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275899157"/>
        <c:axId val="386229168"/>
      </c:barChart>
      <c:catAx>
        <c:axId val="2758991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6229168"/>
        <c:crosses val="autoZero"/>
        <c:auto val="1"/>
        <c:lblAlgn val="ctr"/>
        <c:lblOffset val="100"/>
        <c:noMultiLvlLbl val="0"/>
      </c:catAx>
      <c:valAx>
        <c:axId val="38622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589915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75346dc-c2ba-4f16-ab2b-53a8646560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400" b="1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"Completed"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6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{"Total"}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{6}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ser>
          <c:idx val="1"/>
          <c:order val="1"/>
          <c:tx>
            <c:strRef>
              <c:f>"Pending Review"</c:f>
              <c:strCache>
                <c:ptCount val="1"/>
                <c:pt idx="0">
                  <c:v>Pending Review</c:v>
                </c:pt>
              </c:strCache>
            </c:strRef>
          </c:tx>
          <c:spPr>
            <a:solidFill>
              <a:schemeClr val="accent6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{"Total"}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{4}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25757297"/>
        <c:axId val="330210692"/>
      </c:barChart>
      <c:catAx>
        <c:axId val="257572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210692"/>
        <c:crosses val="autoZero"/>
        <c:auto val="1"/>
        <c:lblAlgn val="ctr"/>
        <c:lblOffset val="100"/>
        <c:noMultiLvlLbl val="0"/>
      </c:catAx>
      <c:valAx>
        <c:axId val="3302106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75729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8604ff5-6a88-4781-8551-9fdfadc9e0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200" b="1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205553362285"/>
          <c:y val="0.169308290370167"/>
          <c:w val="0.689353862350309"/>
          <c:h val="0.7359596894740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"Completed"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{"Total"}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{6}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ser>
          <c:idx val="1"/>
          <c:order val="1"/>
          <c:tx>
            <c:strRef>
              <c:f>"Pending Review"</c:f>
              <c:strCache>
                <c:ptCount val="1"/>
                <c:pt idx="0">
                  <c:v>Pending Review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{"Total"}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{4}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757297"/>
        <c:axId val="330210692"/>
      </c:barChart>
      <c:catAx>
        <c:axId val="257572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210692"/>
        <c:crosses val="autoZero"/>
        <c:auto val="1"/>
        <c:lblAlgn val="ctr"/>
        <c:lblOffset val="100"/>
        <c:noMultiLvlLbl val="0"/>
      </c:catAx>
      <c:valAx>
        <c:axId val="3302106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7572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158763-178e-43e7-9e4a-403727a85c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400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66040</xdr:colOff>
      <xdr:row>2</xdr:row>
      <xdr:rowOff>26670</xdr:rowOff>
    </xdr:from>
    <xdr:to>
      <xdr:col>4</xdr:col>
      <xdr:colOff>4947920</xdr:colOff>
      <xdr:row>13</xdr:row>
      <xdr:rowOff>165100</xdr:rowOff>
    </xdr:to>
    <xdr:graphicFrame>
      <xdr:nvGraphicFramePr>
        <xdr:cNvPr id="2" name="Chart 1"/>
        <xdr:cNvGraphicFramePr/>
      </xdr:nvGraphicFramePr>
      <xdr:xfrm>
        <a:off x="5431155" y="422910"/>
        <a:ext cx="12625705" cy="2180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37465</xdr:colOff>
      <xdr:row>16</xdr:row>
      <xdr:rowOff>29210</xdr:rowOff>
    </xdr:from>
    <xdr:to>
      <xdr:col>3</xdr:col>
      <xdr:colOff>27305</xdr:colOff>
      <xdr:row>21</xdr:row>
      <xdr:rowOff>137160</xdr:rowOff>
    </xdr:to>
    <xdr:graphicFrame>
      <xdr:nvGraphicFramePr>
        <xdr:cNvPr id="4" name="Chart 3"/>
        <xdr:cNvGraphicFramePr/>
      </xdr:nvGraphicFramePr>
      <xdr:xfrm>
        <a:off x="5402580" y="3166110"/>
        <a:ext cx="6621145" cy="1266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93345</xdr:colOff>
      <xdr:row>2</xdr:row>
      <xdr:rowOff>2540</xdr:rowOff>
    </xdr:from>
    <xdr:to>
      <xdr:col>8</xdr:col>
      <xdr:colOff>5106670</xdr:colOff>
      <xdr:row>10</xdr:row>
      <xdr:rowOff>122555</xdr:rowOff>
    </xdr:to>
    <xdr:graphicFrame>
      <xdr:nvGraphicFramePr>
        <xdr:cNvPr id="6" name="Chart 5"/>
        <xdr:cNvGraphicFramePr/>
      </xdr:nvGraphicFramePr>
      <xdr:xfrm>
        <a:off x="24755475" y="398780"/>
        <a:ext cx="5013325" cy="1583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67945</xdr:colOff>
      <xdr:row>13</xdr:row>
      <xdr:rowOff>48260</xdr:rowOff>
    </xdr:from>
    <xdr:to>
      <xdr:col>8</xdr:col>
      <xdr:colOff>5090160</xdr:colOff>
      <xdr:row>20</xdr:row>
      <xdr:rowOff>173355</xdr:rowOff>
    </xdr:to>
    <xdr:graphicFrame>
      <xdr:nvGraphicFramePr>
        <xdr:cNvPr id="7" name="Chart 6"/>
        <xdr:cNvGraphicFramePr/>
      </xdr:nvGraphicFramePr>
      <xdr:xfrm>
        <a:off x="24730075" y="2486660"/>
        <a:ext cx="5022215" cy="1798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1379220</xdr:colOff>
      <xdr:row>22</xdr:row>
      <xdr:rowOff>95250</xdr:rowOff>
    </xdr:from>
    <xdr:to>
      <xdr:col>7</xdr:col>
      <xdr:colOff>1186815</xdr:colOff>
      <xdr:row>32</xdr:row>
      <xdr:rowOff>135255</xdr:rowOff>
    </xdr:to>
    <xdr:graphicFrame>
      <xdr:nvGraphicFramePr>
        <xdr:cNvPr id="3" name="Chart 2"/>
        <xdr:cNvGraphicFramePr/>
      </xdr:nvGraphicFramePr>
      <xdr:xfrm>
        <a:off x="19448145" y="4573270"/>
        <a:ext cx="4094480" cy="2371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946785</xdr:colOff>
      <xdr:row>37</xdr:row>
      <xdr:rowOff>49530</xdr:rowOff>
    </xdr:from>
    <xdr:to>
      <xdr:col>9</xdr:col>
      <xdr:colOff>170180</xdr:colOff>
      <xdr:row>47</xdr:row>
      <xdr:rowOff>95250</xdr:rowOff>
    </xdr:to>
    <xdr:graphicFrame>
      <xdr:nvGraphicFramePr>
        <xdr:cNvPr id="5" name="Chart 4"/>
        <xdr:cNvGraphicFramePr/>
      </xdr:nvGraphicFramePr>
      <xdr:xfrm>
        <a:off x="25608915" y="777367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54610</xdr:colOff>
      <xdr:row>29</xdr:row>
      <xdr:rowOff>172720</xdr:rowOff>
    </xdr:from>
    <xdr:to>
      <xdr:col>3</xdr:col>
      <xdr:colOff>315595</xdr:colOff>
      <xdr:row>42</xdr:row>
      <xdr:rowOff>57150</xdr:rowOff>
    </xdr:to>
    <xdr:graphicFrame>
      <xdr:nvGraphicFramePr>
        <xdr:cNvPr id="8" name="Chart 7"/>
        <xdr:cNvGraphicFramePr/>
      </xdr:nvGraphicFramePr>
      <xdr:xfrm>
        <a:off x="54610" y="6350000"/>
        <a:ext cx="12257405" cy="2780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li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Travel</v>
          </cell>
          <cell r="B2">
            <v>5000</v>
          </cell>
        </row>
        <row r="3">
          <cell r="A3" t="str">
            <v>Food</v>
          </cell>
          <cell r="B3">
            <v>2000</v>
          </cell>
        </row>
        <row r="4">
          <cell r="A4" t="str">
            <v>Hotel</v>
          </cell>
          <cell r="B4">
            <v>10000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4.9325" refreshedBy="PC" recordCount="10">
  <cacheSource type="worksheet">
    <worksheetSource ref="A1:P11" sheet="audit"/>
  </cacheSource>
  <cacheFields count="16">
    <cacheField name="Claim ID" numFmtId="0">
      <sharedItems count="10">
        <s v="CLM001"/>
        <s v="CLM002"/>
        <s v="CLM003"/>
        <s v="CLM004"/>
        <s v="CLM005"/>
        <s v="CLM006"/>
        <s v="CLM007"/>
        <s v="CLM008"/>
        <s v="CLM009"/>
        <s v="CLM010"/>
      </sharedItems>
    </cacheField>
    <cacheField name="Emp ID" numFmtId="0">
      <sharedItems count="8">
        <s v="EMP001"/>
        <s v="EMP002"/>
        <s v="EMP003"/>
        <s v="EMP004"/>
        <s v="EMP005"/>
        <s v="EMP006"/>
        <s v="EMP007"/>
        <s v="EMP008"/>
      </sharedItems>
    </cacheField>
    <cacheField name="Emp Name" numFmtId="0">
      <sharedItems count="10">
        <s v="Ram"/>
        <s v="Varsha"/>
        <s v="Arjun"/>
        <s v="Kumar"/>
        <s v="Diya"/>
        <s v="Loki"/>
        <s v="Tony"/>
        <s v="Peter"/>
        <s v="Steve"/>
        <s v="Bruce"/>
      </sharedItems>
    </cacheField>
    <cacheField name="Department" numFmtId="0">
      <sharedItems count="6">
        <s v="IT"/>
        <s v="HR"/>
        <s v="Finance"/>
        <s v="Sales"/>
        <s v="Data Science"/>
        <s v="Operations"/>
      </sharedItems>
    </cacheField>
    <cacheField name="Expense Date" numFmtId="58">
      <sharedItems containsSemiMixedTypes="0" containsString="0" containsNonDate="0" containsDate="1" minDate="2026-05-10T00:00:00" maxDate="2026-09-10T00:00:00" count="5">
        <d v="2026-05-10T00:00:00"/>
        <d v="2026-06-10T00:00:00"/>
        <d v="2026-07-10T00:00:00"/>
        <d v="2026-08-10T00:00:00"/>
        <d v="2026-09-10T00:00:00"/>
      </sharedItems>
    </cacheField>
    <cacheField name="Category" numFmtId="0">
      <sharedItems count="3">
        <s v="Travel"/>
        <s v="Food"/>
        <s v="Hotel"/>
      </sharedItems>
    </cacheField>
    <cacheField name="Amount ()" numFmtId="0">
      <sharedItems containsSemiMixedTypes="0" containsString="0" containsNumber="1" containsInteger="1" minValue="0" maxValue="15000" count="9">
        <n v="2500"/>
        <n v="1800"/>
        <n v="12000"/>
        <n v="750"/>
        <n v="6500"/>
        <n v="8000"/>
        <n v="950"/>
        <n v="3200"/>
        <n v="15000"/>
      </sharedItems>
    </cacheField>
    <cacheField name="Receipt" numFmtId="0">
      <sharedItems count="2">
        <s v="Yes"/>
        <s v="No"/>
      </sharedItems>
    </cacheField>
    <cacheField name="Policy" numFmtId="0">
      <sharedItems containsSemiMixedTypes="0" containsString="0" containsNumber="1" containsInteger="1" minValue="0" maxValue="10000" count="3">
        <n v="5000"/>
        <n v="2000"/>
        <n v="10000"/>
      </sharedItems>
    </cacheField>
    <cacheField name="Duplicate Check" numFmtId="0">
      <sharedItems count="1">
        <s v="Unique"/>
      </sharedItems>
    </cacheField>
    <cacheField name="Receipt Check" numFmtId="0">
      <sharedItems count="2">
        <s v="Available"/>
        <s v="Missing"/>
      </sharedItems>
    </cacheField>
    <cacheField name="Policy check" numFmtId="0">
      <sharedItems count="2">
        <s v="Within Limit"/>
        <s v="Exceeded"/>
      </sharedItems>
    </cacheField>
    <cacheField name="Risk Level" numFmtId="0">
      <sharedItems count="2">
        <s v="Low"/>
        <s v="High"/>
      </sharedItems>
    </cacheField>
    <cacheField name="Audit Status" numFmtId="0">
      <sharedItems count="2">
        <s v="Approved"/>
        <s v="Review Required"/>
      </sharedItems>
    </cacheField>
    <cacheField name="Auditor Remarks" numFmtId="0">
      <sharedItems count="3">
        <s v="No issues found"/>
        <s v="Receipt not provided"/>
        <s v="Amount exceeds policy limit"/>
      </sharedItems>
    </cacheField>
    <cacheField name="Resolution Status" numFmtId="0">
      <sharedItems count="2">
        <s v="Completed"/>
        <s v="Pending Review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0"/>
    <x v="1"/>
    <x v="0"/>
    <x v="1"/>
    <x v="1"/>
    <x v="1"/>
    <x v="1"/>
  </r>
  <r>
    <x v="2"/>
    <x v="2"/>
    <x v="2"/>
    <x v="2"/>
    <x v="1"/>
    <x v="2"/>
    <x v="2"/>
    <x v="0"/>
    <x v="2"/>
    <x v="0"/>
    <x v="0"/>
    <x v="1"/>
    <x v="1"/>
    <x v="1"/>
    <x v="2"/>
    <x v="1"/>
  </r>
  <r>
    <x v="3"/>
    <x v="0"/>
    <x v="3"/>
    <x v="0"/>
    <x v="1"/>
    <x v="0"/>
    <x v="0"/>
    <x v="0"/>
    <x v="0"/>
    <x v="0"/>
    <x v="0"/>
    <x v="0"/>
    <x v="0"/>
    <x v="0"/>
    <x v="0"/>
    <x v="0"/>
  </r>
  <r>
    <x v="4"/>
    <x v="3"/>
    <x v="4"/>
    <x v="3"/>
    <x v="1"/>
    <x v="1"/>
    <x v="3"/>
    <x v="0"/>
    <x v="1"/>
    <x v="0"/>
    <x v="0"/>
    <x v="0"/>
    <x v="0"/>
    <x v="0"/>
    <x v="0"/>
    <x v="0"/>
  </r>
  <r>
    <x v="5"/>
    <x v="4"/>
    <x v="5"/>
    <x v="4"/>
    <x v="2"/>
    <x v="2"/>
    <x v="4"/>
    <x v="0"/>
    <x v="2"/>
    <x v="0"/>
    <x v="0"/>
    <x v="0"/>
    <x v="0"/>
    <x v="0"/>
    <x v="0"/>
    <x v="0"/>
  </r>
  <r>
    <x v="6"/>
    <x v="5"/>
    <x v="6"/>
    <x v="5"/>
    <x v="2"/>
    <x v="0"/>
    <x v="5"/>
    <x v="1"/>
    <x v="0"/>
    <x v="0"/>
    <x v="1"/>
    <x v="1"/>
    <x v="1"/>
    <x v="1"/>
    <x v="1"/>
    <x v="1"/>
  </r>
  <r>
    <x v="7"/>
    <x v="1"/>
    <x v="7"/>
    <x v="1"/>
    <x v="3"/>
    <x v="1"/>
    <x v="6"/>
    <x v="0"/>
    <x v="1"/>
    <x v="0"/>
    <x v="0"/>
    <x v="0"/>
    <x v="0"/>
    <x v="0"/>
    <x v="0"/>
    <x v="0"/>
  </r>
  <r>
    <x v="8"/>
    <x v="6"/>
    <x v="8"/>
    <x v="2"/>
    <x v="3"/>
    <x v="0"/>
    <x v="7"/>
    <x v="0"/>
    <x v="0"/>
    <x v="0"/>
    <x v="0"/>
    <x v="0"/>
    <x v="0"/>
    <x v="0"/>
    <x v="0"/>
    <x v="0"/>
  </r>
  <r>
    <x v="9"/>
    <x v="7"/>
    <x v="9"/>
    <x v="0"/>
    <x v="4"/>
    <x v="2"/>
    <x v="8"/>
    <x v="0"/>
    <x v="2"/>
    <x v="0"/>
    <x v="0"/>
    <x v="1"/>
    <x v="1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 rowPageCount="1" colPageCount="1"/>
  <pivotFields count="16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showAll="0">
      <items count="11">
        <item x="2"/>
        <item x="9"/>
        <item x="4"/>
        <item x="3"/>
        <item x="5"/>
        <item x="7"/>
        <item x="0"/>
        <item x="8"/>
        <item x="6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Page" compact="0" numFmtId="58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0">
        <item x="3"/>
        <item x="6"/>
        <item x="1"/>
        <item x="0"/>
        <item x="7"/>
        <item x="4"/>
        <item x="5"/>
        <item x="2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4"/>
  </pageFields>
  <dataFields count="1">
    <dataField name="Sum of Amount ()" fld="6" baseField="0" baseItem="0"/>
  </dataFields>
  <formats count="14">
    <format dxfId="0">
      <pivotArea field="4" type="button" dataOnly="0" labelOnly="1" outline="0" fieldPosition="0"/>
    </format>
    <format dxfId="1">
      <pivotArea field="4" type="button" dataOnly="0" labelOnly="1" outline="0" fieldPosition="0"/>
    </format>
    <format dxfId="2">
      <pivotArea field="4" type="button" dataOnly="0" labelOnly="1" outline="0" fieldPosition="0"/>
    </format>
    <format dxfId="3">
      <pivotArea field="4" type="button" dataOnly="0" labelOnly="1" outline="0" fieldPosition="0"/>
    </format>
    <format dxfId="4">
      <pivotArea dataOnly="0" labelOnly="1" outline="0" fieldPosition="0">
        <references count="1">
          <reference field="4" count="0"/>
        </references>
      </pivotArea>
    </format>
    <format dxfId="5">
      <pivotArea dataOnly="0" axis="axisValues" fieldPosition="0"/>
    </format>
    <format dxfId="6">
      <pivotArea dataOnly="0" labelOnly="1" outline="0" fieldPosition="0">
        <references count="1">
          <reference field="4" count="0"/>
        </references>
      </pivotArea>
    </format>
    <format dxfId="7">
      <pivotArea dataOnly="0" axis="axisValues" fieldPosition="0"/>
    </format>
    <format dxfId="8">
      <pivotArea field="2" type="button" dataOnly="0" labelOnly="1" outline="0" fieldPosition="0"/>
    </format>
    <format dxfId="9">
      <pivotArea field="2" type="button" dataOnly="0" labelOnly="1" outline="0" fieldPosition="0"/>
    </format>
    <format dxfId="10">
      <pivotArea dataOnly="0" labelOnly="1" grandRow="1" fieldPosition="0"/>
    </format>
    <format dxfId="11">
      <pivotArea dataOnly="0" labelOnly="1" grandRow="1" fieldPosition="0"/>
    </format>
    <format dxfId="12">
      <pivotArea grandRow="1" collapsedLevelsAreSubtotals="1" fieldPosition="0"/>
    </format>
    <format dxfId="13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5:H8" firstHeaderRow="1" firstDataRow="1" firstDataCol="1"/>
  <pivotFields count="16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58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Policy check" fld="11" subtotal="count" baseField="0" baseItem="0"/>
  </dataFields>
  <formats count="14">
    <format dxfId="14">
      <pivotArea field="11" type="button" dataOnly="0" labelOnly="1" outline="0" fieldPosition="0"/>
    </format>
    <format dxfId="15">
      <pivotArea field="11" type="button" dataOnly="0" labelOnly="1" outline="0" fieldPosition="0"/>
    </format>
    <format dxfId="16">
      <pivotArea field="11" type="button" dataOnly="0" labelOnly="1" outline="0" fieldPosition="0"/>
    </format>
    <format dxfId="17">
      <pivotArea dataOnly="0" labelOnly="1" grandRow="1" fieldPosition="0"/>
    </format>
    <format dxfId="18">
      <pivotArea grandRow="1" collapsedLevelsAreSubtotals="1" fieldPosition="0"/>
    </format>
    <format dxfId="19">
      <pivotArea field="11" type="button" dataOnly="0" labelOnly="1" outline="0" fieldPosition="0"/>
    </format>
    <format dxfId="20">
      <pivotArea dataOnly="0" labelOnly="1" grandRow="1" fieldPosition="0"/>
    </format>
    <format dxfId="21">
      <pivotArea dataOnly="0" labelOnly="1" grandRow="1" fieldPosition="0"/>
    </format>
    <format dxfId="22">
      <pivotArea dataOnly="0" labelOnly="1" grandRow="1" fieldPosition="0"/>
    </format>
    <format dxfId="23">
      <pivotArea grandRow="1" collapsedLevelsAreSubtotals="1" fieldPosition="0"/>
    </format>
    <format dxfId="24">
      <pivotArea dataOnly="0" labelOnly="1" grandRow="1" fieldPosition="0"/>
    </format>
    <format dxfId="25">
      <pivotArea dataOnly="0" labelOnly="1" grandRow="1" fieldPosition="0"/>
    </format>
    <format dxfId="26">
      <pivotArea dataOnly="0" labelOnly="1" grandRow="1" fieldPosition="0"/>
    </format>
    <format dxfId="27">
      <pivotArea dataOnly="0" labelOnly="1" grandRow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5:H19" firstHeaderRow="1" firstDataRow="1" firstDataCol="1"/>
  <pivotFields count="16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58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 ()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8:B21" firstHeaderRow="1" firstDataRow="1" firstDataCol="1"/>
  <pivotFields count="16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58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Risk Level" fld="1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27:J30" firstHeaderRow="1" firstDataRow="1" firstDataCol="1"/>
  <pivotFields count="16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58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Audit Status" fld="13" subtotal="count" baseField="0" baseItem="0"/>
  </dataFields>
  <formats count="16">
    <format dxfId="28">
      <pivotArea field="10" type="button" dataOnly="0" labelOnly="1" outline="0" fieldPosition="0"/>
    </format>
    <format dxfId="29">
      <pivotArea dataOnly="0" labelOnly="1" fieldPosition="0">
        <references count="1">
          <reference field="10" count="1">
            <x v="0"/>
          </reference>
        </references>
      </pivotArea>
    </format>
    <format dxfId="30">
      <pivotArea dataOnly="0" labelOnly="1" fieldPosition="0">
        <references count="1">
          <reference field="10" count="1">
            <x v="1"/>
          </reference>
        </references>
      </pivotArea>
    </format>
    <format dxfId="31">
      <pivotArea dataOnly="0" labelOnly="1" grandRow="1" fieldPosition="0"/>
    </format>
    <format dxfId="32">
      <pivotArea field="10" type="button" dataOnly="0" labelOnly="1" outline="0" fieldPosition="0"/>
    </format>
    <format dxfId="33">
      <pivotArea dataOnly="0" labelOnly="1" fieldPosition="0">
        <references count="1">
          <reference field="10" count="1">
            <x v="0"/>
          </reference>
        </references>
      </pivotArea>
    </format>
    <format dxfId="34">
      <pivotArea dataOnly="0" labelOnly="1" fieldPosition="0">
        <references count="1">
          <reference field="10" count="1">
            <x v="1"/>
          </reference>
        </references>
      </pivotArea>
    </format>
    <format dxfId="35">
      <pivotArea dataOnly="0" labelOnly="1" grandRow="1" fieldPosition="0"/>
    </format>
    <format dxfId="36">
      <pivotArea field="10" type="button" dataOnly="0" labelOnly="1" outline="0" fieldPosition="0"/>
    </format>
    <format dxfId="37">
      <pivotArea dataOnly="0" labelOnly="1" fieldPosition="0">
        <references count="1">
          <reference field="10" count="1">
            <x v="0"/>
          </reference>
        </references>
      </pivotArea>
    </format>
    <format dxfId="38">
      <pivotArea dataOnly="0" labelOnly="1" fieldPosition="0">
        <references count="1">
          <reference field="10" count="1">
            <x v="1"/>
          </reference>
        </references>
      </pivotArea>
    </format>
    <format dxfId="39">
      <pivotArea dataOnly="0" labelOnly="1" grandRow="1" fieldPosition="0"/>
    </format>
    <format dxfId="40">
      <pivotArea collapsedLevelsAreSubtotals="1" fieldPosition="0">
        <references count="1">
          <reference field="10" count="1" selected="0">
            <x v="0"/>
          </reference>
        </references>
      </pivotArea>
    </format>
    <format dxfId="41">
      <pivotArea collapsedLevelsAreSubtotals="1" fieldPosition="0">
        <references count="1">
          <reference field="10" count="1" selected="0">
            <x v="1"/>
          </reference>
        </references>
      </pivotArea>
    </format>
    <format dxfId="42">
      <pivotArea collapsedLevelsAreSubtotals="1" fieldPosition="0">
        <references count="1">
          <reference field="10" count="1" selected="0">
            <x v="0"/>
          </reference>
        </references>
      </pivotArea>
    </format>
    <format dxfId="43">
      <pivotArea collapsedLevelsAreSubtotals="1" fieldPosition="0">
        <references count="1">
          <reference field="10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42:H45" firstHeaderRow="1" firstDataRow="1" firstDataCol="1" rowPageCount="1" colPageCount="1"/>
  <pivotFields count="16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58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axis="axisPage" compact="0" showAll="0">
      <items count="4">
        <item x="1"/>
        <item x="0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pageFields count="1">
    <pageField fld="8"/>
  </pageFields>
  <dataFields count="1">
    <dataField name="Count of Policy check" fld="11" subtotal="count" baseField="0" baseItem="0"/>
  </dataFields>
  <formats count="1">
    <format dxfId="4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7:D29" firstHeaderRow="1" firstDataRow="2" firstDataCol="1"/>
  <pivotFields count="16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58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Items count="1">
    <i/>
  </rowItems>
  <colFields count="1">
    <field x="15"/>
  </colFields>
  <colItems count="3">
    <i>
      <x/>
    </i>
    <i>
      <x v="1"/>
    </i>
    <i t="grand">
      <x/>
    </i>
  </colItems>
  <dataFields count="1">
    <dataField name="Count of Resolution Status" fld="1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24:C26" totalsRowShown="0">
  <autoFilter xmlns:etc="http://www.wps.cn/officeDocument/2017/etCustomData" ref="A24:C26" etc:filterBottomFollowUsedRange="0"/>
  <tableColumns count="3">
    <tableColumn id="1" name="Column1"/>
    <tableColumn id="2" name="Column2"/>
    <tableColumn id="3" name="Column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.xml"/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zoomScale="74" zoomScaleNormal="74" topLeftCell="B19" workbookViewId="0">
      <selection activeCell="E27" sqref="E27"/>
    </sheetView>
  </sheetViews>
  <sheetFormatPr defaultColWidth="8.88888888888889" defaultRowHeight="14.4"/>
  <cols>
    <col min="1" max="1" width="47.2962962962963" customWidth="1"/>
    <col min="2" max="2" width="30.9351851851852" customWidth="1"/>
    <col min="3" max="3" width="96.6944444444444" customWidth="1"/>
    <col min="4" max="4" width="16.2222222222222" customWidth="1"/>
    <col min="5" max="5" width="72.3240740740741" customWidth="1"/>
    <col min="6" max="6" width="22.3240740740741" customWidth="1"/>
    <col min="7" max="7" width="40.1851851851852" customWidth="1"/>
    <col min="8" max="8" width="33.6296296296296" customWidth="1"/>
    <col min="9" max="9" width="81.6944444444444" customWidth="1"/>
    <col min="10" max="10" width="51.3055555555556" customWidth="1"/>
  </cols>
  <sheetData>
    <row r="1" ht="15.6" spans="1:9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G1" s="24" t="s">
        <v>2</v>
      </c>
      <c r="H1" s="25" t="s">
        <v>3</v>
      </c>
      <c r="I1" s="42" t="s">
        <v>4</v>
      </c>
    </row>
    <row r="2" ht="15.6" spans="3:9">
      <c r="C2" s="26" t="s">
        <v>5</v>
      </c>
      <c r="D2" s="27" t="s">
        <v>6</v>
      </c>
      <c r="E2" s="27" t="s">
        <v>7</v>
      </c>
      <c r="G2" s="28" t="s">
        <v>8</v>
      </c>
      <c r="H2" s="29" t="s">
        <v>9</v>
      </c>
      <c r="I2" s="28" t="s">
        <v>10</v>
      </c>
    </row>
    <row r="3" spans="1:2">
      <c r="A3" s="22" t="s">
        <v>11</v>
      </c>
      <c r="B3" s="22" t="s">
        <v>12</v>
      </c>
    </row>
    <row r="4" spans="1:2">
      <c r="A4" t="s">
        <v>13</v>
      </c>
      <c r="B4">
        <v>12000</v>
      </c>
    </row>
    <row r="5" spans="1:8">
      <c r="A5" t="s">
        <v>14</v>
      </c>
      <c r="B5">
        <v>15000</v>
      </c>
      <c r="G5" s="30" t="s">
        <v>15</v>
      </c>
      <c r="H5" s="30" t="s">
        <v>16</v>
      </c>
    </row>
    <row r="6" spans="1:8">
      <c r="A6" t="s">
        <v>17</v>
      </c>
      <c r="B6">
        <v>750</v>
      </c>
      <c r="G6" t="s">
        <v>18</v>
      </c>
      <c r="H6">
        <v>3</v>
      </c>
    </row>
    <row r="7" spans="1:8">
      <c r="A7" t="s">
        <v>19</v>
      </c>
      <c r="B7">
        <v>2500</v>
      </c>
      <c r="G7" t="s">
        <v>20</v>
      </c>
      <c r="H7">
        <v>7</v>
      </c>
    </row>
    <row r="8" spans="1:8">
      <c r="A8" t="s">
        <v>21</v>
      </c>
      <c r="B8">
        <v>6500</v>
      </c>
      <c r="G8" s="30" t="s">
        <v>22</v>
      </c>
      <c r="H8" s="30">
        <v>10</v>
      </c>
    </row>
    <row r="9" spans="1:2">
      <c r="A9" t="s">
        <v>23</v>
      </c>
      <c r="B9">
        <v>950</v>
      </c>
    </row>
    <row r="10" spans="1:2">
      <c r="A10" t="s">
        <v>24</v>
      </c>
      <c r="B10">
        <v>2500</v>
      </c>
    </row>
    <row r="11" spans="1:2">
      <c r="A11" t="s">
        <v>25</v>
      </c>
      <c r="B11">
        <v>3200</v>
      </c>
    </row>
    <row r="12" ht="15.6" spans="1:9">
      <c r="A12" t="s">
        <v>26</v>
      </c>
      <c r="B12">
        <v>8000</v>
      </c>
      <c r="G12" s="24" t="s">
        <v>2</v>
      </c>
      <c r="H12" s="25" t="s">
        <v>3</v>
      </c>
      <c r="I12" s="42" t="s">
        <v>4</v>
      </c>
    </row>
    <row r="13" ht="15.6" spans="1:9">
      <c r="A13" t="s">
        <v>27</v>
      </c>
      <c r="B13">
        <v>1800</v>
      </c>
      <c r="G13" s="31" t="s">
        <v>28</v>
      </c>
      <c r="H13" s="32" t="s">
        <v>6</v>
      </c>
      <c r="I13" s="31" t="s">
        <v>29</v>
      </c>
    </row>
    <row r="14" spans="1:2">
      <c r="A14" s="22" t="s">
        <v>22</v>
      </c>
      <c r="B14" s="22">
        <v>53200</v>
      </c>
    </row>
    <row r="15" ht="15.6" spans="1:8">
      <c r="A15" s="33" t="s">
        <v>2</v>
      </c>
      <c r="B15" s="34" t="s">
        <v>3</v>
      </c>
      <c r="C15" s="35" t="s">
        <v>4</v>
      </c>
      <c r="G15" t="s">
        <v>30</v>
      </c>
      <c r="H15" t="s">
        <v>12</v>
      </c>
    </row>
    <row r="16" ht="25" customHeight="1" spans="1:8">
      <c r="A16" s="36" t="s">
        <v>31</v>
      </c>
      <c r="B16" s="37" t="s">
        <v>9</v>
      </c>
      <c r="C16" s="38" t="s">
        <v>32</v>
      </c>
      <c r="G16" t="s">
        <v>33</v>
      </c>
      <c r="H16">
        <v>3500</v>
      </c>
    </row>
    <row r="17" ht="22" customHeight="1" spans="7:8">
      <c r="G17" t="s">
        <v>34</v>
      </c>
      <c r="H17">
        <v>33500</v>
      </c>
    </row>
    <row r="18" spans="1:8">
      <c r="A18" t="s">
        <v>35</v>
      </c>
      <c r="B18" t="s">
        <v>36</v>
      </c>
      <c r="G18" t="s">
        <v>37</v>
      </c>
      <c r="H18">
        <v>16200</v>
      </c>
    </row>
    <row r="19" ht="26" customHeight="1" spans="1:8">
      <c r="A19" t="s">
        <v>38</v>
      </c>
      <c r="B19">
        <v>4</v>
      </c>
      <c r="G19" t="s">
        <v>22</v>
      </c>
      <c r="H19">
        <v>53200</v>
      </c>
    </row>
    <row r="20" spans="1:2">
      <c r="A20" t="s">
        <v>39</v>
      </c>
      <c r="B20">
        <v>6</v>
      </c>
    </row>
    <row r="21" spans="1:2">
      <c r="A21" t="s">
        <v>22</v>
      </c>
      <c r="B21">
        <v>10</v>
      </c>
    </row>
    <row r="24" ht="21" spans="1:3">
      <c r="A24" s="39" t="s">
        <v>40</v>
      </c>
      <c r="B24" s="39" t="s">
        <v>41</v>
      </c>
      <c r="C24" s="39" t="s">
        <v>42</v>
      </c>
    </row>
    <row r="25" ht="21" spans="1:3">
      <c r="A25" s="40" t="s">
        <v>43</v>
      </c>
      <c r="B25" s="40" t="s">
        <v>6</v>
      </c>
      <c r="C25" s="40" t="s">
        <v>44</v>
      </c>
    </row>
    <row r="27" ht="21" spans="2:10">
      <c r="B27" t="s">
        <v>45</v>
      </c>
      <c r="I27" s="43" t="s">
        <v>46</v>
      </c>
      <c r="J27" t="s">
        <v>47</v>
      </c>
    </row>
    <row r="28" ht="21" spans="2:10">
      <c r="B28" t="s">
        <v>48</v>
      </c>
      <c r="C28" t="s">
        <v>49</v>
      </c>
      <c r="D28" t="s">
        <v>22</v>
      </c>
      <c r="I28" s="43" t="s">
        <v>50</v>
      </c>
      <c r="J28" s="40">
        <v>8</v>
      </c>
    </row>
    <row r="29" ht="21" spans="1:10">
      <c r="A29" t="s">
        <v>51</v>
      </c>
      <c r="B29">
        <v>6</v>
      </c>
      <c r="C29">
        <v>4</v>
      </c>
      <c r="D29">
        <v>10</v>
      </c>
      <c r="I29" s="43" t="s">
        <v>52</v>
      </c>
      <c r="J29" s="40">
        <v>2</v>
      </c>
    </row>
    <row r="30" ht="21" spans="9:10">
      <c r="I30" s="43" t="s">
        <v>22</v>
      </c>
      <c r="J30">
        <v>10</v>
      </c>
    </row>
    <row r="40" ht="25.8" spans="7:8">
      <c r="G40" s="41" t="s">
        <v>53</v>
      </c>
      <c r="H40" s="41" t="s">
        <v>1</v>
      </c>
    </row>
    <row r="41" ht="25.8" spans="7:8">
      <c r="G41" s="41"/>
      <c r="H41" s="41"/>
    </row>
    <row r="42" ht="25.8" spans="7:8">
      <c r="G42" s="41" t="s">
        <v>15</v>
      </c>
      <c r="H42" s="41" t="s">
        <v>16</v>
      </c>
    </row>
    <row r="43" ht="25.8" spans="7:8">
      <c r="G43" s="41" t="s">
        <v>18</v>
      </c>
      <c r="H43" s="41">
        <v>3</v>
      </c>
    </row>
    <row r="44" ht="25.8" spans="7:8">
      <c r="G44" s="41" t="s">
        <v>20</v>
      </c>
      <c r="H44" s="41">
        <v>7</v>
      </c>
    </row>
    <row r="45" ht="25.8" spans="7:8">
      <c r="G45" s="41" t="s">
        <v>22</v>
      </c>
      <c r="H45" s="41">
        <v>10</v>
      </c>
    </row>
  </sheetData>
  <pageMargins left="0.75" right="0.75" top="1" bottom="1" header="0.5" footer="0.5"/>
  <headerFooter/>
  <drawing r:id="rId8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B22" sqref="B22:B24"/>
    </sheetView>
  </sheetViews>
  <sheetFormatPr defaultColWidth="8.88888888888889" defaultRowHeight="14.4"/>
  <cols>
    <col min="4" max="4" width="14" customWidth="1"/>
    <col min="5" max="5" width="10.2222222222222"/>
    <col min="6" max="6" width="14.7777777777778" customWidth="1"/>
    <col min="7" max="7" width="12.5555555555556" customWidth="1"/>
    <col min="9" max="9" width="11.5555555555556" customWidth="1"/>
    <col min="10" max="10" width="16.3333333333333" customWidth="1"/>
    <col min="11" max="11" width="14.8888888888889" customWidth="1"/>
    <col min="12" max="12" width="12.2222222222222" customWidth="1"/>
    <col min="14" max="14" width="10.5555555555556" customWidth="1"/>
    <col min="15" max="15" width="14.5555555555556" customWidth="1"/>
    <col min="16" max="16" width="12.6666666666667" customWidth="1"/>
  </cols>
  <sheetData>
    <row r="1" ht="28.8" spans="1:16">
      <c r="A1" s="1" t="s">
        <v>54</v>
      </c>
      <c r="B1" s="2" t="s">
        <v>55</v>
      </c>
      <c r="C1" s="2" t="s">
        <v>11</v>
      </c>
      <c r="D1" s="2" t="s">
        <v>56</v>
      </c>
      <c r="E1" s="2" t="s">
        <v>0</v>
      </c>
      <c r="F1" s="2" t="s">
        <v>30</v>
      </c>
      <c r="G1" s="2" t="s">
        <v>57</v>
      </c>
      <c r="H1" s="3" t="s">
        <v>58</v>
      </c>
      <c r="I1" s="1" t="s">
        <v>53</v>
      </c>
      <c r="J1" s="2" t="s">
        <v>59</v>
      </c>
      <c r="K1" s="2" t="s">
        <v>46</v>
      </c>
      <c r="L1" s="2" t="s">
        <v>15</v>
      </c>
      <c r="M1" s="2" t="s">
        <v>35</v>
      </c>
      <c r="N1" s="2" t="s">
        <v>60</v>
      </c>
      <c r="O1" s="2" t="s">
        <v>61</v>
      </c>
      <c r="P1" s="3" t="s">
        <v>45</v>
      </c>
    </row>
    <row r="2" spans="1:16">
      <c r="A2" s="4" t="s">
        <v>62</v>
      </c>
      <c r="B2" s="5" t="s">
        <v>63</v>
      </c>
      <c r="C2" s="5" t="s">
        <v>24</v>
      </c>
      <c r="D2" s="5" t="s">
        <v>64</v>
      </c>
      <c r="E2" s="6">
        <v>46152</v>
      </c>
      <c r="F2" s="5" t="s">
        <v>37</v>
      </c>
      <c r="G2" s="7">
        <v>2500</v>
      </c>
      <c r="H2" s="8" t="s">
        <v>65</v>
      </c>
      <c r="I2" s="19">
        <f>_xlfn.XLOOKUP(F2,[1]Sheet1!$A$2:$A$4,[1]Sheet1!$B$2:$B$4,"Not Found")</f>
        <v>5000</v>
      </c>
      <c r="J2" s="20" t="str">
        <f>IF(COUNTIFS(B:B,B2,E:E,E2,F:F,F2,G:G,G2)&gt;1,"Duplicate","Unique")</f>
        <v>Unique</v>
      </c>
      <c r="K2" s="20" t="str">
        <f>IF(H2="Yes","Available","Missing")</f>
        <v>Available</v>
      </c>
      <c r="L2" s="20" t="str">
        <f>IF(G2&gt;I2,"Exceeded","Within Limit")</f>
        <v>Within Limit</v>
      </c>
      <c r="M2" s="20" t="str">
        <f>IF(OR(J2="Duplicate",K2="Missing",L2="Exceeded"),"High",IF(G2&gt;=I2*0.8,"Medium","Low"))</f>
        <v>Low</v>
      </c>
      <c r="N2" s="20" t="str">
        <f>IF(OR(J2="Duplicate",K2="Missing",L2="Exceeded"),"Review Required","Approved")</f>
        <v>Approved</v>
      </c>
      <c r="O2" s="20" t="str">
        <f>IF(J2="Duplicate","Possible duplicate claim",IF(K2="Missing","Receipt not provided",IF(L2="Exceeded","Amount exceeds policy limit",IF(M2="Medium","Verify high-value claim","No issues found"))))</f>
        <v>No issues found</v>
      </c>
      <c r="P2" s="21" t="str">
        <f>IF(N2="Review Required","Pending Review","Completed")</f>
        <v>Completed</v>
      </c>
    </row>
    <row r="3" ht="28.8" spans="1:16">
      <c r="A3" s="9" t="s">
        <v>66</v>
      </c>
      <c r="B3" s="10" t="s">
        <v>67</v>
      </c>
      <c r="C3" s="10" t="s">
        <v>27</v>
      </c>
      <c r="D3" s="10" t="s">
        <v>68</v>
      </c>
      <c r="E3" s="11">
        <v>46152</v>
      </c>
      <c r="F3" s="10" t="s">
        <v>33</v>
      </c>
      <c r="G3" s="12">
        <v>1800</v>
      </c>
      <c r="H3" s="13" t="s">
        <v>69</v>
      </c>
      <c r="I3" s="19">
        <f>_xlfn.XLOOKUP(F3,[1]Sheet1!$A$2:$A$4,[1]Sheet1!$B$2:$B$4,"Not Found")</f>
        <v>2000</v>
      </c>
      <c r="J3" s="20" t="str">
        <f t="shared" ref="J3:J11" si="0">IF(COUNTIFS(B:B,B3,E:E,E3,F:F,F3,G:G,G3)&gt;1,"Duplicate","Unique")</f>
        <v>Unique</v>
      </c>
      <c r="K3" s="20" t="str">
        <f t="shared" ref="K3:K11" si="1">IF(H3="Yes","Available","Missing")</f>
        <v>Missing</v>
      </c>
      <c r="L3" s="20" t="str">
        <f t="shared" ref="L3:L11" si="2">IF(G3&gt;I3,"Exceeded","Within Limit")</f>
        <v>Within Limit</v>
      </c>
      <c r="M3" s="20" t="str">
        <f t="shared" ref="M3:M11" si="3">IF(OR(J3="Duplicate",K3="Missing",L3="Exceeded"),"High",IF(G3&gt;=I3*0.8,"Medium","Low"))</f>
        <v>High</v>
      </c>
      <c r="N3" s="20" t="str">
        <f t="shared" ref="N3:N11" si="4">IF(OR(J3="Duplicate",K3="Missing",L3="Exceeded"),"Review Required","Approved")</f>
        <v>Review Required</v>
      </c>
      <c r="O3" s="20" t="str">
        <f t="shared" ref="O3:O11" si="5">IF(J3="Duplicate","Possible duplicate claim",IF(K3="Missing","Receipt not provided",IF(L3="Exceeded","Amount exceeds policy limit",IF(M3="Medium","Verify high-value claim","No issues found"))))</f>
        <v>Receipt not provided</v>
      </c>
      <c r="P3" s="21" t="str">
        <f t="shared" ref="P3:P11" si="6">IF(N3="Review Required","Pending Review","Completed")</f>
        <v>Pending Review</v>
      </c>
    </row>
    <row r="4" ht="43.2" spans="1:16">
      <c r="A4" s="4" t="s">
        <v>70</v>
      </c>
      <c r="B4" s="5" t="s">
        <v>71</v>
      </c>
      <c r="C4" s="5" t="s">
        <v>13</v>
      </c>
      <c r="D4" s="5" t="s">
        <v>72</v>
      </c>
      <c r="E4" s="6">
        <v>46183</v>
      </c>
      <c r="F4" s="5" t="s">
        <v>34</v>
      </c>
      <c r="G4" s="7">
        <v>12000</v>
      </c>
      <c r="H4" s="8" t="s">
        <v>65</v>
      </c>
      <c r="I4" s="19">
        <f>_xlfn.XLOOKUP(F4,[1]Sheet1!$A$2:$A$4,[1]Sheet1!$B$2:$B$4,"Not Found")</f>
        <v>10000</v>
      </c>
      <c r="J4" s="20" t="str">
        <f t="shared" si="0"/>
        <v>Unique</v>
      </c>
      <c r="K4" s="20" t="str">
        <f t="shared" si="1"/>
        <v>Available</v>
      </c>
      <c r="L4" s="20" t="str">
        <f t="shared" si="2"/>
        <v>Exceeded</v>
      </c>
      <c r="M4" s="20" t="str">
        <f t="shared" si="3"/>
        <v>High</v>
      </c>
      <c r="N4" s="20" t="str">
        <f t="shared" si="4"/>
        <v>Review Required</v>
      </c>
      <c r="O4" s="20" t="str">
        <f t="shared" si="5"/>
        <v>Amount exceeds policy limit</v>
      </c>
      <c r="P4" s="21" t="str">
        <f t="shared" si="6"/>
        <v>Pending Review</v>
      </c>
    </row>
    <row r="5" spans="1:16">
      <c r="A5" s="9" t="s">
        <v>73</v>
      </c>
      <c r="B5" s="10" t="s">
        <v>63</v>
      </c>
      <c r="C5" s="10" t="s">
        <v>19</v>
      </c>
      <c r="D5" s="10" t="s">
        <v>64</v>
      </c>
      <c r="E5" s="11">
        <v>46183</v>
      </c>
      <c r="F5" s="10" t="s">
        <v>37</v>
      </c>
      <c r="G5" s="12">
        <v>2500</v>
      </c>
      <c r="H5" s="13" t="s">
        <v>65</v>
      </c>
      <c r="I5" s="19">
        <f>_xlfn.XLOOKUP(F5,[1]Sheet1!$A$2:$A$4,[1]Sheet1!$B$2:$B$4,"Not Found")</f>
        <v>5000</v>
      </c>
      <c r="J5" s="20" t="str">
        <f t="shared" si="0"/>
        <v>Unique</v>
      </c>
      <c r="K5" s="20" t="str">
        <f t="shared" si="1"/>
        <v>Available</v>
      </c>
      <c r="L5" s="20" t="str">
        <f t="shared" si="2"/>
        <v>Within Limit</v>
      </c>
      <c r="M5" s="20" t="str">
        <f t="shared" si="3"/>
        <v>Low</v>
      </c>
      <c r="N5" s="20" t="str">
        <f t="shared" si="4"/>
        <v>Approved</v>
      </c>
      <c r="O5" s="20" t="str">
        <f t="shared" si="5"/>
        <v>No issues found</v>
      </c>
      <c r="P5" s="21" t="str">
        <f t="shared" si="6"/>
        <v>Completed</v>
      </c>
    </row>
    <row r="6" spans="1:16">
      <c r="A6" s="4" t="s">
        <v>74</v>
      </c>
      <c r="B6" s="5" t="s">
        <v>75</v>
      </c>
      <c r="C6" s="5" t="s">
        <v>17</v>
      </c>
      <c r="D6" s="5" t="s">
        <v>76</v>
      </c>
      <c r="E6" s="6">
        <v>46183</v>
      </c>
      <c r="F6" s="5" t="s">
        <v>33</v>
      </c>
      <c r="G6" s="5">
        <v>750</v>
      </c>
      <c r="H6" s="8" t="s">
        <v>65</v>
      </c>
      <c r="I6" s="19">
        <f>_xlfn.XLOOKUP(F6,[1]Sheet1!$A$2:$A$4,[1]Sheet1!$B$2:$B$4,"Not Found")</f>
        <v>2000</v>
      </c>
      <c r="J6" s="20" t="str">
        <f t="shared" si="0"/>
        <v>Unique</v>
      </c>
      <c r="K6" s="20" t="str">
        <f t="shared" si="1"/>
        <v>Available</v>
      </c>
      <c r="L6" s="20" t="str">
        <f t="shared" si="2"/>
        <v>Within Limit</v>
      </c>
      <c r="M6" s="20" t="str">
        <f t="shared" si="3"/>
        <v>Low</v>
      </c>
      <c r="N6" s="20" t="str">
        <f t="shared" si="4"/>
        <v>Approved</v>
      </c>
      <c r="O6" s="20" t="str">
        <f t="shared" si="5"/>
        <v>No issues found</v>
      </c>
      <c r="P6" s="21" t="str">
        <f t="shared" si="6"/>
        <v>Completed</v>
      </c>
    </row>
    <row r="7" spans="1:16">
      <c r="A7" s="9" t="s">
        <v>77</v>
      </c>
      <c r="B7" s="10" t="s">
        <v>78</v>
      </c>
      <c r="C7" s="10" t="s">
        <v>21</v>
      </c>
      <c r="D7" s="10" t="s">
        <v>79</v>
      </c>
      <c r="E7" s="11">
        <v>46213</v>
      </c>
      <c r="F7" s="10" t="s">
        <v>34</v>
      </c>
      <c r="G7" s="12">
        <v>6500</v>
      </c>
      <c r="H7" s="13" t="s">
        <v>65</v>
      </c>
      <c r="I7" s="19">
        <f>_xlfn.XLOOKUP(F7,[1]Sheet1!$A$2:$A$4,[1]Sheet1!$B$2:$B$4,"Not Found")</f>
        <v>10000</v>
      </c>
      <c r="J7" s="20" t="str">
        <f t="shared" si="0"/>
        <v>Unique</v>
      </c>
      <c r="K7" s="20" t="str">
        <f t="shared" si="1"/>
        <v>Available</v>
      </c>
      <c r="L7" s="20" t="str">
        <f t="shared" si="2"/>
        <v>Within Limit</v>
      </c>
      <c r="M7" s="20" t="str">
        <f t="shared" si="3"/>
        <v>Low</v>
      </c>
      <c r="N7" s="20" t="str">
        <f t="shared" si="4"/>
        <v>Approved</v>
      </c>
      <c r="O7" s="20" t="str">
        <f t="shared" si="5"/>
        <v>No issues found</v>
      </c>
      <c r="P7" s="21" t="str">
        <f t="shared" si="6"/>
        <v>Completed</v>
      </c>
    </row>
    <row r="8" ht="28.8" spans="1:16">
      <c r="A8" s="4" t="s">
        <v>80</v>
      </c>
      <c r="B8" s="5" t="s">
        <v>81</v>
      </c>
      <c r="C8" s="5" t="s">
        <v>26</v>
      </c>
      <c r="D8" s="5" t="s">
        <v>82</v>
      </c>
      <c r="E8" s="6">
        <v>46213</v>
      </c>
      <c r="F8" s="5" t="s">
        <v>37</v>
      </c>
      <c r="G8" s="7">
        <v>8000</v>
      </c>
      <c r="H8" s="8" t="s">
        <v>69</v>
      </c>
      <c r="I8" s="19">
        <f>_xlfn.XLOOKUP(F8,[1]Sheet1!$A$2:$A$4,[1]Sheet1!$B$2:$B$4,"Not Found")</f>
        <v>5000</v>
      </c>
      <c r="J8" s="20" t="str">
        <f t="shared" si="0"/>
        <v>Unique</v>
      </c>
      <c r="K8" s="20" t="str">
        <f t="shared" si="1"/>
        <v>Missing</v>
      </c>
      <c r="L8" s="20" t="str">
        <f t="shared" si="2"/>
        <v>Exceeded</v>
      </c>
      <c r="M8" s="20" t="str">
        <f t="shared" si="3"/>
        <v>High</v>
      </c>
      <c r="N8" s="20" t="str">
        <f t="shared" si="4"/>
        <v>Review Required</v>
      </c>
      <c r="O8" s="20" t="str">
        <f t="shared" si="5"/>
        <v>Receipt not provided</v>
      </c>
      <c r="P8" s="21" t="str">
        <f t="shared" si="6"/>
        <v>Pending Review</v>
      </c>
    </row>
    <row r="9" spans="1:16">
      <c r="A9" s="9" t="s">
        <v>83</v>
      </c>
      <c r="B9" s="10" t="s">
        <v>67</v>
      </c>
      <c r="C9" s="10" t="s">
        <v>23</v>
      </c>
      <c r="D9" s="10" t="s">
        <v>68</v>
      </c>
      <c r="E9" s="11">
        <v>46244</v>
      </c>
      <c r="F9" s="10" t="s">
        <v>33</v>
      </c>
      <c r="G9" s="10">
        <v>950</v>
      </c>
      <c r="H9" s="13" t="s">
        <v>65</v>
      </c>
      <c r="I9" s="19">
        <f>_xlfn.XLOOKUP(F9,[1]Sheet1!$A$2:$A$4,[1]Sheet1!$B$2:$B$4,"Not Found")</f>
        <v>2000</v>
      </c>
      <c r="J9" s="20" t="str">
        <f t="shared" si="0"/>
        <v>Unique</v>
      </c>
      <c r="K9" s="20" t="str">
        <f t="shared" si="1"/>
        <v>Available</v>
      </c>
      <c r="L9" s="20" t="str">
        <f t="shared" si="2"/>
        <v>Within Limit</v>
      </c>
      <c r="M9" s="20" t="str">
        <f t="shared" si="3"/>
        <v>Low</v>
      </c>
      <c r="N9" s="20" t="str">
        <f t="shared" si="4"/>
        <v>Approved</v>
      </c>
      <c r="O9" s="20" t="str">
        <f t="shared" si="5"/>
        <v>No issues found</v>
      </c>
      <c r="P9" s="21" t="str">
        <f t="shared" si="6"/>
        <v>Completed</v>
      </c>
    </row>
    <row r="10" spans="1:16">
      <c r="A10" s="4" t="s">
        <v>84</v>
      </c>
      <c r="B10" s="5" t="s">
        <v>85</v>
      </c>
      <c r="C10" s="5" t="s">
        <v>25</v>
      </c>
      <c r="D10" s="5" t="s">
        <v>72</v>
      </c>
      <c r="E10" s="6">
        <v>46244</v>
      </c>
      <c r="F10" s="5" t="s">
        <v>37</v>
      </c>
      <c r="G10" s="7">
        <v>3200</v>
      </c>
      <c r="H10" s="8" t="s">
        <v>65</v>
      </c>
      <c r="I10" s="19">
        <f>_xlfn.XLOOKUP(F10,[1]Sheet1!$A$2:$A$4,[1]Sheet1!$B$2:$B$4,"Not Found")</f>
        <v>5000</v>
      </c>
      <c r="J10" s="20" t="str">
        <f t="shared" si="0"/>
        <v>Unique</v>
      </c>
      <c r="K10" s="20" t="str">
        <f t="shared" si="1"/>
        <v>Available</v>
      </c>
      <c r="L10" s="20" t="str">
        <f t="shared" si="2"/>
        <v>Within Limit</v>
      </c>
      <c r="M10" s="20" t="str">
        <f t="shared" si="3"/>
        <v>Low</v>
      </c>
      <c r="N10" s="20" t="str">
        <f t="shared" si="4"/>
        <v>Approved</v>
      </c>
      <c r="O10" s="20" t="str">
        <f t="shared" si="5"/>
        <v>No issues found</v>
      </c>
      <c r="P10" s="21" t="str">
        <f t="shared" si="6"/>
        <v>Completed</v>
      </c>
    </row>
    <row r="11" ht="43.2" spans="1:16">
      <c r="A11" s="14" t="s">
        <v>86</v>
      </c>
      <c r="B11" s="15" t="s">
        <v>87</v>
      </c>
      <c r="C11" s="15" t="s">
        <v>14</v>
      </c>
      <c r="D11" s="15" t="s">
        <v>64</v>
      </c>
      <c r="E11" s="16">
        <v>46275</v>
      </c>
      <c r="F11" s="15" t="s">
        <v>34</v>
      </c>
      <c r="G11" s="17">
        <v>15000</v>
      </c>
      <c r="H11" s="18" t="s">
        <v>65</v>
      </c>
      <c r="I11" s="19">
        <f>_xlfn.XLOOKUP(F11,[1]Sheet1!$A$2:$A$4,[1]Sheet1!$B$2:$B$4,"Not Found")</f>
        <v>10000</v>
      </c>
      <c r="J11" s="20" t="str">
        <f t="shared" si="0"/>
        <v>Unique</v>
      </c>
      <c r="K11" s="20" t="str">
        <f t="shared" si="1"/>
        <v>Available</v>
      </c>
      <c r="L11" s="20" t="str">
        <f t="shared" si="2"/>
        <v>Exceeded</v>
      </c>
      <c r="M11" s="20" t="str">
        <f t="shared" si="3"/>
        <v>High</v>
      </c>
      <c r="N11" s="20" t="str">
        <f t="shared" si="4"/>
        <v>Review Required</v>
      </c>
      <c r="O11" s="20" t="str">
        <f t="shared" si="5"/>
        <v>Amount exceeds policy limit</v>
      </c>
      <c r="P11" s="21" t="str">
        <f t="shared" si="6"/>
        <v>Pending Review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 table sheet</vt:lpstr>
      <vt:lpstr>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Varsha gk</cp:lastModifiedBy>
  <dcterms:created xsi:type="dcterms:W3CDTF">2026-10-09T11:40:00Z</dcterms:created>
  <dcterms:modified xsi:type="dcterms:W3CDTF">2026-10-10T13:01:56Z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4AC11FD1EFF8461A8C2490AE3D88BD08_11</vt:lpwstr>
  </property>
  <property fmtid="{D5CDD505-2E9C-101B-9397-08002B2CF9AE}" pid="3" name="KSOProductBuildVer">
    <vt:lpwstr>2057-12.2.0.23206</vt:lpwstr>
  </property>
</Properties>
</file>
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<sst xmlns="http://schemas.openxmlformats.org/spreadsheetml/2006/main" count="101" uniqueCount="75">
  <si>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Claim ID</t>
  </si>
  <si>
    <t>Emp ID</t>
  </si>
  <si>
    <t>Emp Name</t>
  </si>
  <si>
    <t>Department</t>
  </si>
  <si>
    <t>Expense Date</t>
  </si>
  <si>
    <t>Category</t>
  </si>
  <si>
    <t>Amount ()</t>
  </si>
  <si>
    <t>Receipt</t>
  </si>
  <si>
    <t>Policy</t>
  </si>
  <si>
    <t>Duplicate Check</t>
  </si>
  <si>
    <t>Receipt Check</t>
  </si>
  <si>
    <t>Policy check</t>
  </si>
  <si>
    <t>Risk Level</t>
  </si>
  <si>
    <t>Audit Status</t>
  </si>
  <si>
    <t>Auditor Remarks</t>
  </si>
  <si>
    <t>Resolution Status</t>
  </si>
  <si>
    <t>CLM001</t>
  </si>
  <si>
    <t>EMP001</t>
  </si>
  <si>
    <t>Ram</t>
  </si>
  <si>
    <t>IT</t>
  </si>
  <si>
    <t>Travel</t>
  </si>
  <si>
    <t>Yes</t>
  </si>
  <si>
    <t>EMPLOYEE EXPENSE CLAIM AUDIT DASHBOARD</t>
  </si>
  <si>
    <t>CLM002</t>
  </si>
  <si>
    <t>EMP002</t>
  </si>
  <si>
    <t>Varsha</t>
  </si>
  <si>
    <t>HR</t>
  </si>
  <si>
    <t>Food</t>
  </si>
  <si>
    <t>No</t>
  </si>
  <si>
    <t>CLM003</t>
  </si>
  <si>
    <t>EMP003</t>
  </si>
  <si>
    <t>Arjun</t>
  </si>
  <si>
    <t>Finance</t>
  </si>
  <si>
    <t>Hotel</t>
  </si>
  <si>
    <t>TOTAL CLAIMS</t>
  </si>
  <si>
    <t>TOTAL EXPENSES</t>
  </si>
  <si>
    <t>HIGH-RISK CLAIMS</t>
  </si>
  <si>
    <t>REQUIRING REVIEW</t>
  </si>
  <si>
    <t>CLM004</t>
  </si>
  <si>
    <t>Kumar</t>
  </si>
  <si>
    <t>CLM005</t>
  </si>
  <si>
    <t>EMP004</t>
  </si>
  <si>
    <t>Diya</t>
  </si>
  <si>
    <t>Sales</t>
  </si>
  <si>
    <t>CLM006</t>
  </si>
  <si>
    <t>EMP005</t>
  </si>
  <si>
    <t>Loki</t>
  </si>
  <si>
    <t>Data Science</t>
  </si>
  <si>
    <t>Audit Summary</t>
  </si>
  <si>
    <t>Expenses by Category</t>
  </si>
  <si>
    <t>Claims by Risk Level</t>
  </si>
  <si>
    <t>CLM007</t>
  </si>
  <si>
    <t>EMP006</t>
  </si>
  <si>
    <t>Tony</t>
  </si>
  <si>
    <t>Operations</t>
  </si>
  <si>
    <t>Metric</t>
  </si>
  <si>
    <t>Count / Amount</t>
  </si>
  <si>
    <t>Amount (₹)</t>
  </si>
  <si>
    <t>Claims</t>
  </si>
  <si>
    <t>CLM008</t>
  </si>
  <si>
    <t>Peter</t>
  </si>
  <si>
    <t>Missing Receipts</t>
  </si>
  <si>
    <t>High</t>
  </si>
  <si>
    <t>CLM009</t>
  </si>
  <si>
    <t>EMP007</t>
  </si>
  <si>
    <t>Steve</t>
  </si>
  <si>
    <t>Policy Violations</t>
  </si>
  <si>
    <t>Medium</t>
  </si>
  <si>
    <t>CLM010</t>
  </si>
  <si>
    <t>EMP008</t>
  </si>
  <si>
    <t>Bruce</t>
  </si>
  <si>
    <t>Approved Claims</t>
  </si>
  <si>
    <t>Low</t>
  </si>
  <si>
    <t>Pending Review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</si>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</sst>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#,##0"/>
  </numFmts>
  <fonts count="3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6"/>
      <color rgb="FF17365D"/>
      <name val="Calibri"/>
      <charset val="134"/>
      <scheme val="minor"/>
    </font>
    <font>
      <b/>
      <sz val="13"/>
      <color rgb="FF17365D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/>
      <right/>
      <top/>
      <bottom style="medium">
        <color rgb="FF4472C4"/>
      </bottom>
      <diagonal/>
    </border>
    <border>
      <left/>
      <right/>
      <top/>
      <bottom style="medium">
        <color rgb="FF70AD47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ED7D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7" applyNumberFormat="0" applyAlignment="0" applyProtection="0">
      <alignment vertical="center"/>
    </xf>
    <xf numFmtId="0" fontId="22" fillId="14" borderId="18" applyNumberFormat="0" applyAlignment="0" applyProtection="0">
      <alignment vertical="center"/>
    </xf>
    <xf numFmtId="0" fontId="23" fillId="14" borderId="17" applyNumberFormat="0" applyAlignment="0" applyProtection="0">
      <alignment vertical="center"/>
    </xf>
    <xf numFmtId="0" fontId="24" fillId="15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0" fillId="3" borderId="4" xfId="0" applyNumberFormat="1" applyFont="1" applyFill="1" applyBorder="1" applyAlignment="1" applyProtection="1">
      <alignment vertical="center" wrapText="1"/>
    </xf>
    <xf numFmtId="0" fontId="0" fillId="3" borderId="5" xfId="0" applyNumberFormat="1" applyFont="1" applyFill="1" applyBorder="1" applyAlignment="1" applyProtection="1">
      <alignment vertical="center" wrapText="1"/>
    </xf>
    <xf numFmtId="58" fontId="0" fillId="3" borderId="5" xfId="0" applyNumberFormat="1" applyFont="1" applyFill="1" applyBorder="1" applyAlignment="1" applyProtection="1">
      <alignment vertical="center" wrapText="1"/>
    </xf>
    <xf numFmtId="3" fontId="0" fillId="3" borderId="5" xfId="0" applyNumberFormat="1" applyFont="1" applyFill="1" applyBorder="1" applyAlignment="1" applyProtection="1">
      <alignment vertical="center" wrapText="1"/>
    </xf>
    <xf numFmtId="0" fontId="0" fillId="3" borderId="6" xfId="0" applyNumberFormat="1" applyFont="1" applyFill="1" applyBorder="1" applyAlignment="1" applyProtection="1">
      <alignment vertical="center" wrapText="1"/>
    </xf>
    <xf numFmtId="0" fontId="0" fillId="0" borderId="4" xfId="0" applyNumberFormat="1" applyFont="1" applyFill="1" applyBorder="1" applyAlignment="1" applyProtection="1">
      <alignment vertical="center" wrapText="1"/>
    </xf>
    <xf numFmtId="0" fontId="0" fillId="0" borderId="5" xfId="0" applyNumberFormat="1" applyFont="1" applyFill="1" applyBorder="1" applyAlignment="1" applyProtection="1">
      <alignment vertical="center" wrapText="1"/>
    </xf>
    <xf numFmtId="58" fontId="0" fillId="0" borderId="5" xfId="0" applyNumberFormat="1" applyFont="1" applyFill="1" applyBorder="1" applyAlignment="1" applyProtection="1">
      <alignment vertical="center" wrapText="1"/>
    </xf>
    <xf numFmtId="3" fontId="0" fillId="0" borderId="5" xfId="0" applyNumberFormat="1" applyFont="1" applyFill="1" applyBorder="1" applyAlignment="1" applyProtection="1">
      <alignment vertical="center" wrapText="1"/>
    </xf>
    <xf numFmtId="0" fontId="0" fillId="0" borderId="6" xfId="0" applyNumberFormat="1" applyFont="1" applyFill="1" applyBorder="1" applyAlignment="1" applyProtection="1">
      <alignment vertical="center" wrapText="1"/>
    </xf>
    <xf numFmtId="0" fontId="0" fillId="0" borderId="7" xfId="0" applyNumberFormat="1" applyFont="1" applyFill="1" applyBorder="1" applyAlignment="1" applyProtection="1">
      <alignment vertical="center" wrapText="1"/>
    </xf>
    <xf numFmtId="0" fontId="0" fillId="0" borderId="8" xfId="0" applyNumberFormat="1" applyFont="1" applyFill="1" applyBorder="1" applyAlignment="1" applyProtection="1">
      <alignment vertical="center" wrapText="1"/>
    </xf>
    <xf numFmtId="58" fontId="0" fillId="0" borderId="8" xfId="0" applyNumberFormat="1" applyFont="1" applyFill="1" applyBorder="1" applyAlignment="1" applyProtection="1">
      <alignment vertical="center" wrapText="1"/>
    </xf>
    <xf numFmtId="3" fontId="0" fillId="0" borderId="8" xfId="0" applyNumberFormat="1" applyFont="1" applyFill="1" applyBorder="1" applyAlignment="1" applyProtection="1">
      <alignment vertical="center" wrapText="1"/>
    </xf>
    <xf numFmtId="0" fontId="0" fillId="0" borderId="9" xfId="0" applyNumberFormat="1" applyFont="1" applyFill="1" applyBorder="1" applyAlignment="1" applyProtection="1">
      <alignment vertical="center" wrapText="1"/>
    </xf>
    <xf numFmtId="0" fontId="2" fillId="0" borderId="0" xfId="0" applyFont="1" applyFill="1" applyAlignment="1"/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3" fillId="3" borderId="6" xfId="0" applyNumberFormat="1" applyFont="1" applyFill="1" applyBorder="1" applyAlignment="1" applyProtection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178" fontId="9" fillId="6" borderId="11" xfId="0" applyNumberFormat="1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10" fillId="0" borderId="0" xfId="0" applyFont="1" applyFill="1" applyAlignment="1"/>
    <xf numFmtId="0" fontId="11" fillId="10" borderId="0" xfId="0" applyFont="1" applyFill="1" applyAlignment="1"/>
    <xf numFmtId="0" fontId="2" fillId="11" borderId="0" xfId="0" applyFont="1" applyFill="1" applyAlignment="1"/>
    <xf numFmtId="3" fontId="0" fillId="0" borderId="0" xfId="0" applyNumberFormat="1">
      <alignment vertical="center"/>
    </xf>
    <xf numFmtId="0" fontId="12" fillId="0" borderId="0" xfId="0" applyFo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26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640" b="1"/>
              <a:t>Employee-wise Expense Analysis </a:t>
            </a:r>
            <a:endParaRPr sz="264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{"Arjun","Bruce","Diya","Kumar","Loki","Peter","Ram","Steve","Tony","Varsha"}</c:f>
              <c:strCache>
                <c:ptCount val="10"/>
                <c:pt idx="0">
                  <c:v>Arjun</c:v>
                </c:pt>
                <c:pt idx="1">
                  <c:v>Bruce</c:v>
                </c:pt>
                <c:pt idx="2">
                  <c:v>Diya</c:v>
                </c:pt>
                <c:pt idx="3">
                  <c:v>Kumar</c:v>
                </c:pt>
                <c:pt idx="4">
                  <c:v>Loki</c:v>
                </c:pt>
                <c:pt idx="5">
                  <c:v>Peter</c:v>
                </c:pt>
                <c:pt idx="6">
                  <c:v>Ram</c:v>
                </c:pt>
                <c:pt idx="7">
                  <c:v>Steve</c:v>
                </c:pt>
                <c:pt idx="8">
                  <c:v>Tony</c:v>
                </c:pt>
                <c:pt idx="9">
                  <c:v>Varsha</c:v>
                </c:pt>
              </c:strCache>
            </c:strRef>
          </c:cat>
          <c:val>
            <c:numRef>
              <c:f>{12000,15000,750,2500,6500,950,2500,3200,8000,1800}</c:f>
              <c:numCache>
                <c:formatCode>General</c:formatCode>
                <c:ptCount val="10"/>
                <c:pt idx="0">
                  <c:v>12000</c:v>
                </c:pt>
                <c:pt idx="1">
                  <c:v>15000</c:v>
                </c:pt>
                <c:pt idx="2">
                  <c:v>750</c:v>
                </c:pt>
                <c:pt idx="3">
                  <c:v>2500</c:v>
                </c:pt>
                <c:pt idx="4">
                  <c:v>6500</c:v>
                </c:pt>
                <c:pt idx="5">
                  <c:v>950</c:v>
                </c:pt>
                <c:pt idx="6">
                  <c:v>2500</c:v>
                </c:pt>
                <c:pt idx="7">
                  <c:v>3200</c:v>
                </c:pt>
                <c:pt idx="8">
                  <c:v>8000</c:v>
                </c:pt>
                <c:pt idx="9">
                  <c:v>1800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63160909"/>
        <c:axId val="945937413"/>
      </c:barChart>
      <c:catAx>
        <c:axId val="1631609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2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937413"/>
        <c:crosses val="autoZero"/>
        <c:auto val="1"/>
        <c:lblAlgn val="ctr"/>
        <c:lblOffset val="100"/>
        <c:noMultiLvlLbl val="0"/>
      </c:catAx>
      <c:valAx>
        <c:axId val="94593741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2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1609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2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2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e92ff6-aa74-4ec7-981b-c00960846f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2200" b="1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Expenses by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[3]Dashboard!$E$7</c:f>
              <c:strCache>
                <c:ptCount val="1"/>
                <c:pt idx="0">
                  <c:v>Amount (₹)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[3]Dashboard!$D$8:$D$10</c:f>
              <c:strCache>
                <c:ptCount val="3"/>
                <c:pt idx="0">
                  <c:v>Travel</c:v>
                </c:pt>
                <c:pt idx="1">
                  <c:v>Food</c:v>
                </c:pt>
                <c:pt idx="2">
                  <c:v>Hotel</c:v>
                </c:pt>
              </c:strCache>
            </c:strRef>
          </c:cat>
          <c:val>
            <c:numRef>
              <c:f>[3]Dashboard!$E$8:$E$10</c:f>
              <c:numCache>
                <c:formatCode>"₹"#,##0</c:formatCode>
                <c:ptCount val="3"/>
                <c:pt idx="0">
                  <c:v>16200</c:v>
                </c:pt>
                <c:pt idx="1">
                  <c:v>3500</c:v>
                </c:pt>
                <c:pt idx="2">
                  <c:v>33500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(₹)</a:t>
                </a:r>
              </a:p>
            </c:rich>
          </c:tx>
          <c:layout/>
          <c:overlay val="0"/>
        </c:title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b604f7-438d-4f1b-83a5-46cd8ca5e0fb}"/>
      </c:ext>
    </c:extLst>
  </c:chart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Claims by Risk Level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[3]Dashboard!$H$7</c:f>
              <c:strCache>
                <c:ptCount val="1"/>
                <c:pt idx="0">
                  <c:v>Claims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[3]Dashboard!$G$8:$G$10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[3]Dashboard!$H$8:$H$10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7f69f0-cb52-48a3-a7f1-7516ac0b2225}"/>
      </c:ext>
    </c:extLst>
  </c:chart>
  <c:txPr>
    <a:bodyPr/>
    <a:lstStyle/>
    <a:p>
      <a:pPr>
        <a:defRPr lang="en-GB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Sheet1!$S$7:$S$8</c:f>
              <c:strCache>
                <c:ptCount val="1"/>
                <c:pt idx="0">
                  <c:v>Audit Summary Count / Amount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Sheet1!$R$9:$R$13</c:f>
              <c:strCache>
                <c:ptCount val="5"/>
                <c:pt idx="0">
                  <c:v>Missing Receipts</c:v>
                </c:pt>
                <c:pt idx="1">
                  <c:v>Policy Violations</c:v>
                </c:pt>
                <c:pt idx="2">
                  <c:v>Approved Claims</c:v>
                </c:pt>
                <c:pt idx="3">
                  <c:v>Pending Review</c:v>
                </c:pt>
                <c:pt idx="4">
                  <c:v>Total Expenses</c:v>
                </c:pt>
              </c:strCache>
            </c:strRef>
          </c:cat>
          <c:val>
            <c:numRef>
              <c:f>Sheet1!$S$9:$S$13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 c:formatCode="#,##0">
                  <c:v>53200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27852313"/>
        <c:axId val="320430023"/>
      </c:barChart>
      <c:catAx>
        <c:axId val="1278523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430023"/>
        <c:crosses val="autoZero"/>
        <c:auto val="1"/>
        <c:lblAlgn val="ctr"/>
        <c:lblOffset val="100"/>
        <c:noMultiLvlLbl val="0"/>
      </c:catAx>
      <c:valAx>
        <c:axId val="320430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85231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000" b="1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511175</xdr:colOff>
      <xdr:row>10</xdr:row>
      <xdr:rowOff>361950</xdr:rowOff>
    </xdr:from>
    <xdr:to>
      <xdr:col>26</xdr:col>
      <xdr:colOff>214630</xdr:colOff>
      <xdr:row>10</xdr:row>
      <xdr:rowOff>365760</xdr:rowOff>
    </xdr:to>
    <xdr:graphicFrame>
      <xdr:nvGraphicFramePr>
        <xdr:cNvPr id="3" name="Chart 2"/>
        <xdr:cNvGraphicFramePr/>
      </xdr:nvGraphicFramePr>
      <xdr:xfrm>
        <a:off x="22325330" y="3199130"/>
        <a:ext cx="6675755" cy="3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20</xdr:col>
      <xdr:colOff>342900</xdr:colOff>
      <xdr:row>14</xdr:row>
      <xdr:rowOff>91440</xdr:rowOff>
    </xdr:from>
    <xdr:ext cx="3954145" cy="2390140"/>
    <xdr:graphicFrame>
      <xdr:nvGraphicFramePr>
        <xdr:cNvPr id="9" name="Chart 8"/>
        <xdr:cNvGraphicFramePr/>
      </xdr:nvGraphicFramePr>
      <xdr:xfrm>
        <a:off x="22157055" y="3843020"/>
        <a:ext cx="3954145" cy="2390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22</xdr:col>
      <xdr:colOff>518160</xdr:colOff>
      <xdr:row>14</xdr:row>
      <xdr:rowOff>99060</xdr:rowOff>
    </xdr:from>
    <xdr:ext cx="3600000" cy="2420940"/>
    <xdr:graphicFrame>
      <xdr:nvGraphicFramePr>
        <xdr:cNvPr id="10" name="Chart 9"/>
        <xdr:cNvGraphicFramePr/>
      </xdr:nvGraphicFramePr>
      <xdr:xfrm>
        <a:off x="26248995" y="3850640"/>
        <a:ext cx="359981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16</xdr:col>
      <xdr:colOff>41275</xdr:colOff>
      <xdr:row>14</xdr:row>
      <xdr:rowOff>167640</xdr:rowOff>
    </xdr:from>
    <xdr:to>
      <xdr:col>20</xdr:col>
      <xdr:colOff>144780</xdr:colOff>
      <xdr:row>33</xdr:row>
      <xdr:rowOff>143510</xdr:rowOff>
    </xdr:to>
    <xdr:graphicFrame>
      <xdr:nvGraphicFramePr>
        <xdr:cNvPr id="11" name="Chart 10"/>
        <xdr:cNvGraphicFramePr/>
      </xdr:nvGraphicFramePr>
      <xdr:xfrm>
        <a:off x="14954250" y="3919220"/>
        <a:ext cx="7004685" cy="4578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lic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d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mployee_Expense_Audit_Dashbo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Travel</v>
          </cell>
          <cell r="B2">
            <v>5000</v>
          </cell>
        </row>
        <row r="3">
          <cell r="A3" t="str">
            <v>Food</v>
          </cell>
          <cell r="B3">
            <v>2000</v>
          </cell>
        </row>
        <row r="4">
          <cell r="A4" t="str">
            <v>Hotel</v>
          </cell>
          <cell r="B4">
            <v>10000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 table sheet"/>
      <sheetName val="audit"/>
    </sheetNames>
    <sheetDataSet>
      <sheetData sheetId="0"/>
      <sheetData sheetId="1">
        <row r="1">
          <cell r="A1" t="str">
            <v>Claim ID</v>
          </cell>
          <cell r="B1" t="str">
            <v>Emp ID</v>
          </cell>
          <cell r="C1" t="str">
            <v>Emp Name</v>
          </cell>
          <cell r="D1" t="str">
            <v>Department</v>
          </cell>
          <cell r="E1" t="str">
            <v>Expense Date</v>
          </cell>
          <cell r="F1" t="str">
            <v>Category</v>
          </cell>
          <cell r="G1" t="str">
            <v>Amount ()</v>
          </cell>
          <cell r="H1" t="str">
            <v>Receipt</v>
          </cell>
          <cell r="I1" t="str">
            <v>Policy</v>
          </cell>
          <cell r="J1" t="str">
            <v>Duplicate Check</v>
          </cell>
          <cell r="K1" t="str">
            <v>Receipt Check</v>
          </cell>
          <cell r="L1" t="str">
            <v>Policy check</v>
          </cell>
          <cell r="M1" t="str">
            <v>Risk Level</v>
          </cell>
          <cell r="N1" t="str">
            <v>Audit Status</v>
          </cell>
          <cell r="O1" t="str">
            <v>Auditor Remarks</v>
          </cell>
          <cell r="P1" t="str">
            <v>Resolution Status</v>
          </cell>
        </row>
        <row r="2">
          <cell r="A2" t="str">
            <v>CLM001</v>
          </cell>
          <cell r="B2" t="str">
            <v>EMP001</v>
          </cell>
          <cell r="C2" t="str">
            <v>Ram</v>
          </cell>
          <cell r="D2" t="str">
            <v>IT</v>
          </cell>
          <cell r="E2">
            <v>46152</v>
          </cell>
          <cell r="F2" t="str">
            <v>Travel</v>
          </cell>
          <cell r="G2">
            <v>2500</v>
          </cell>
          <cell r="H2" t="str">
            <v>Yes</v>
          </cell>
          <cell r="I2">
            <v>5000</v>
          </cell>
          <cell r="J2" t="str">
            <v>Unique</v>
          </cell>
          <cell r="K2" t="str">
            <v>Available</v>
          </cell>
          <cell r="L2" t="str">
            <v>Within Limit</v>
          </cell>
          <cell r="M2" t="str">
            <v>Low</v>
          </cell>
          <cell r="N2" t="str">
            <v>Approved</v>
          </cell>
          <cell r="O2" t="str">
            <v>No issues found</v>
          </cell>
          <cell r="P2" t="str">
            <v>Completed</v>
          </cell>
        </row>
        <row r="3">
          <cell r="A3" t="str">
            <v>CLM002</v>
          </cell>
          <cell r="B3" t="str">
            <v>EMP002</v>
          </cell>
          <cell r="C3" t="str">
            <v>Varsha</v>
          </cell>
          <cell r="D3" t="str">
            <v>HR</v>
          </cell>
          <cell r="E3">
            <v>46152</v>
          </cell>
          <cell r="F3" t="str">
            <v>Food</v>
          </cell>
          <cell r="G3">
            <v>1800</v>
          </cell>
          <cell r="H3" t="str">
            <v>No</v>
          </cell>
          <cell r="I3">
            <v>2000</v>
          </cell>
          <cell r="J3" t="str">
            <v>Unique</v>
          </cell>
          <cell r="K3" t="str">
            <v>Missing</v>
          </cell>
          <cell r="L3" t="str">
            <v>Within Limit</v>
          </cell>
          <cell r="M3" t="str">
            <v>High</v>
          </cell>
          <cell r="N3" t="str">
            <v>Review Required</v>
          </cell>
          <cell r="O3" t="str">
            <v>Receipt not provided</v>
          </cell>
          <cell r="P3" t="str">
            <v>Pending Review</v>
          </cell>
        </row>
        <row r="4">
          <cell r="A4" t="str">
            <v>CLM003</v>
          </cell>
          <cell r="B4" t="str">
            <v>EMP003</v>
          </cell>
          <cell r="C4" t="str">
            <v>Arjun</v>
          </cell>
          <cell r="D4" t="str">
            <v>Finance</v>
          </cell>
          <cell r="E4">
            <v>46183</v>
          </cell>
          <cell r="F4" t="str">
            <v>Hotel</v>
          </cell>
          <cell r="G4">
            <v>12000</v>
          </cell>
          <cell r="H4" t="str">
            <v>Yes</v>
          </cell>
          <cell r="I4">
            <v>10000</v>
          </cell>
          <cell r="J4" t="str">
            <v>Unique</v>
          </cell>
          <cell r="K4" t="str">
            <v>Available</v>
          </cell>
          <cell r="L4" t="str">
            <v>Exceeded</v>
          </cell>
          <cell r="M4" t="str">
            <v>High</v>
          </cell>
          <cell r="N4" t="str">
            <v>Review Required</v>
          </cell>
          <cell r="O4" t="str">
            <v>Amount exceeds policy limit</v>
          </cell>
          <cell r="P4" t="str">
            <v>Pending Review</v>
          </cell>
        </row>
        <row r="5">
          <cell r="A5" t="str">
            <v>CLM004</v>
          </cell>
          <cell r="B5" t="str">
            <v>EMP001</v>
          </cell>
          <cell r="C5" t="str">
            <v>Kumar</v>
          </cell>
          <cell r="D5" t="str">
            <v>IT</v>
          </cell>
          <cell r="E5">
            <v>46183</v>
          </cell>
          <cell r="F5" t="str">
            <v>Travel</v>
          </cell>
          <cell r="G5">
            <v>2500</v>
          </cell>
          <cell r="H5" t="str">
            <v>Yes</v>
          </cell>
          <cell r="I5">
            <v>5000</v>
          </cell>
          <cell r="J5" t="str">
            <v>Unique</v>
          </cell>
          <cell r="K5" t="str">
            <v>Available</v>
          </cell>
          <cell r="L5" t="str">
            <v>Within Limit</v>
          </cell>
          <cell r="M5" t="str">
            <v>Low</v>
          </cell>
          <cell r="N5" t="str">
            <v>Approved</v>
          </cell>
          <cell r="O5" t="str">
            <v>No issues found</v>
          </cell>
          <cell r="P5" t="str">
            <v>Completed</v>
          </cell>
        </row>
        <row r="6">
          <cell r="A6" t="str">
            <v>CLM005</v>
          </cell>
          <cell r="B6" t="str">
            <v>EMP004</v>
          </cell>
          <cell r="C6" t="str">
            <v>Diya</v>
          </cell>
          <cell r="D6" t="str">
            <v>Sales</v>
          </cell>
          <cell r="E6">
            <v>46183</v>
          </cell>
          <cell r="F6" t="str">
            <v>Food</v>
          </cell>
          <cell r="G6">
            <v>750</v>
          </cell>
          <cell r="H6" t="str">
            <v>Yes</v>
          </cell>
          <cell r="I6">
            <v>2000</v>
          </cell>
          <cell r="J6" t="str">
            <v>Unique</v>
          </cell>
          <cell r="K6" t="str">
            <v>Available</v>
          </cell>
          <cell r="L6" t="str">
            <v>Within Limit</v>
          </cell>
          <cell r="M6" t="str">
            <v>Low</v>
          </cell>
          <cell r="N6" t="str">
            <v>Approved</v>
          </cell>
          <cell r="O6" t="str">
            <v>No issues found</v>
          </cell>
          <cell r="P6" t="str">
            <v>Completed</v>
          </cell>
        </row>
        <row r="7">
          <cell r="A7" t="str">
            <v>CLM006</v>
          </cell>
          <cell r="B7" t="str">
            <v>EMP005</v>
          </cell>
          <cell r="C7" t="str">
            <v>Loki</v>
          </cell>
          <cell r="D7" t="str">
            <v>Data Science</v>
          </cell>
          <cell r="E7">
            <v>46213</v>
          </cell>
          <cell r="F7" t="str">
            <v>Hotel</v>
          </cell>
          <cell r="G7">
            <v>6500</v>
          </cell>
          <cell r="H7" t="str">
            <v>Yes</v>
          </cell>
          <cell r="I7">
            <v>10000</v>
          </cell>
          <cell r="J7" t="str">
            <v>Unique</v>
          </cell>
          <cell r="K7" t="str">
            <v>Available</v>
          </cell>
          <cell r="L7" t="str">
            <v>Within Limit</v>
          </cell>
          <cell r="M7" t="str">
            <v>Low</v>
          </cell>
          <cell r="N7" t="str">
            <v>Approved</v>
          </cell>
          <cell r="O7" t="str">
            <v>No issues found</v>
          </cell>
          <cell r="P7" t="str">
            <v>Completed</v>
          </cell>
        </row>
        <row r="8">
          <cell r="A8" t="str">
            <v>CLM007</v>
          </cell>
          <cell r="B8" t="str">
            <v>EMP006</v>
          </cell>
          <cell r="C8" t="str">
            <v>Tony</v>
          </cell>
          <cell r="D8" t="str">
            <v>Operations</v>
          </cell>
          <cell r="E8">
            <v>46213</v>
          </cell>
          <cell r="F8" t="str">
            <v>Travel</v>
          </cell>
          <cell r="G8">
            <v>8000</v>
          </cell>
          <cell r="H8" t="str">
            <v>No</v>
          </cell>
          <cell r="I8">
            <v>5000</v>
          </cell>
          <cell r="J8" t="str">
            <v>Unique</v>
          </cell>
          <cell r="K8" t="str">
            <v>Missing</v>
          </cell>
          <cell r="L8" t="str">
            <v>Exceeded</v>
          </cell>
          <cell r="M8" t="str">
            <v>High</v>
          </cell>
          <cell r="N8" t="str">
            <v>Review Required</v>
          </cell>
          <cell r="O8" t="str">
            <v>Receipt not provided</v>
          </cell>
          <cell r="P8" t="str">
            <v>Pending Review</v>
          </cell>
        </row>
        <row r="9">
          <cell r="A9" t="str">
            <v>CLM008</v>
          </cell>
          <cell r="B9" t="str">
            <v>EMP002</v>
          </cell>
          <cell r="C9" t="str">
            <v>Peter</v>
          </cell>
          <cell r="D9" t="str">
            <v>HR</v>
          </cell>
          <cell r="E9">
            <v>46244</v>
          </cell>
          <cell r="F9" t="str">
            <v>Food</v>
          </cell>
          <cell r="G9">
            <v>950</v>
          </cell>
          <cell r="H9" t="str">
            <v>Yes</v>
          </cell>
          <cell r="I9">
            <v>2000</v>
          </cell>
          <cell r="J9" t="str">
            <v>Unique</v>
          </cell>
          <cell r="K9" t="str">
            <v>Available</v>
          </cell>
          <cell r="L9" t="str">
            <v>Within Limit</v>
          </cell>
          <cell r="M9" t="str">
            <v>Low</v>
          </cell>
          <cell r="N9" t="str">
            <v>Approved</v>
          </cell>
          <cell r="O9" t="str">
            <v>No issues found</v>
          </cell>
          <cell r="P9" t="str">
            <v>Completed</v>
          </cell>
        </row>
        <row r="10">
          <cell r="A10" t="str">
            <v>CLM009</v>
          </cell>
          <cell r="B10" t="str">
            <v>EMP007</v>
          </cell>
          <cell r="C10" t="str">
            <v>Steve</v>
          </cell>
          <cell r="D10" t="str">
            <v>Finance</v>
          </cell>
          <cell r="E10">
            <v>46244</v>
          </cell>
          <cell r="F10" t="str">
            <v>Travel</v>
          </cell>
          <cell r="G10">
            <v>3200</v>
          </cell>
          <cell r="H10" t="str">
            <v>Yes</v>
          </cell>
          <cell r="I10">
            <v>5000</v>
          </cell>
          <cell r="J10" t="str">
            <v>Unique</v>
          </cell>
          <cell r="K10" t="str">
            <v>Available</v>
          </cell>
          <cell r="L10" t="str">
            <v>Within Limit</v>
          </cell>
          <cell r="M10" t="str">
            <v>Low</v>
          </cell>
          <cell r="N10" t="str">
            <v>Approved</v>
          </cell>
          <cell r="O10" t="str">
            <v>No issues found</v>
          </cell>
          <cell r="P10" t="str">
            <v>Completed</v>
          </cell>
        </row>
        <row r="11">
          <cell r="A11" t="str">
            <v>CLM010</v>
          </cell>
          <cell r="B11" t="str">
            <v>EMP008</v>
          </cell>
          <cell r="C11" t="str">
            <v>Bruce</v>
          </cell>
          <cell r="D11" t="str">
            <v>IT</v>
          </cell>
          <cell r="E11">
            <v>46275</v>
          </cell>
          <cell r="F11" t="str">
            <v>Hotel</v>
          </cell>
          <cell r="G11">
            <v>15000</v>
          </cell>
          <cell r="H11" t="str">
            <v>Yes</v>
          </cell>
          <cell r="I11">
            <v>10000</v>
          </cell>
          <cell r="J11" t="str">
            <v>Unique</v>
          </cell>
          <cell r="K11" t="str">
            <v>Available</v>
          </cell>
          <cell r="L11" t="str">
            <v>Exceeded</v>
          </cell>
          <cell r="M11" t="str">
            <v>High</v>
          </cell>
          <cell r="N11" t="str">
            <v>Review Required</v>
          </cell>
          <cell r="O11" t="str">
            <v>Amount exceeds policy limit</v>
          </cell>
          <cell r="P11" t="str">
            <v>Pending Review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audit"/>
      <sheetName val="Policy"/>
    </sheetNames>
    <sheetDataSet>
      <sheetData sheetId="0">
        <row r="7">
          <cell r="E7" t="str">
            <v>Amount (₹)</v>
          </cell>
        </row>
        <row r="7">
          <cell r="H7" t="str">
            <v>Claims</v>
          </cell>
        </row>
        <row r="8">
          <cell r="D8" t="str">
            <v>Travel</v>
          </cell>
          <cell r="E8">
            <v>16200</v>
          </cell>
        </row>
        <row r="8">
          <cell r="G8" t="str">
            <v>High</v>
          </cell>
          <cell r="H8">
            <v>4</v>
          </cell>
        </row>
        <row r="9">
          <cell r="D9" t="str">
            <v>Food</v>
          </cell>
          <cell r="E9">
            <v>3500</v>
          </cell>
        </row>
        <row r="9">
          <cell r="G9" t="str">
            <v>Medium</v>
          </cell>
          <cell r="H9">
            <v>0</v>
          </cell>
        </row>
        <row r="10">
          <cell r="D10" t="str">
            <v>Hotel</v>
          </cell>
          <cell r="E10">
            <v>33500</v>
          </cell>
        </row>
        <row r="10">
          <cell r="G10" t="str">
            <v>Low</v>
          </cell>
          <cell r="H10">
            <v>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tabSelected="1" topLeftCell="Q1" workbookViewId="0">
      <selection activeCell="R1" sqref="R1"/>
    </sheetView>
  </sheetViews>
  <sheetFormatPr defaultColWidth="8.88888888888889" defaultRowHeight="14.4"/>
  <cols>
    <col min="3" max="3" width="15.2314814814815" customWidth="1"/>
    <col min="4" max="4" width="12.0185185185185" customWidth="1"/>
    <col min="5" max="5" width="16.5277777777778" customWidth="1"/>
    <col min="6" max="6" width="9.63888888888889" customWidth="1"/>
    <col min="7" max="7" width="9.17592592592593" customWidth="1"/>
    <col min="8" max="8" width="12.1111111111111" customWidth="1"/>
    <col min="11" max="11" width="11.0092592592593" customWidth="1"/>
    <col min="12" max="12" width="18.8148148148148" customWidth="1"/>
    <col min="14" max="14" width="16.0555555555556" customWidth="1"/>
    <col min="15" max="15" width="22.7685185185185" customWidth="1"/>
    <col min="16" max="16" width="29.6574074074074" customWidth="1"/>
    <col min="17" max="17" width="34.8888888888889" customWidth="1"/>
    <col min="18" max="18" width="23.1851851851852" customWidth="1"/>
    <col min="19" max="19" width="21.2222222222222" customWidth="1"/>
    <col min="20" max="20" width="21.3333333333333" customWidth="1"/>
    <col min="21" max="21" width="30.8888888888889" customWidth="1"/>
    <col min="22" max="22" width="26.2222222222222" customWidth="1"/>
    <col min="23" max="23" width="9.22222222222222" customWidth="1"/>
    <col min="24" max="24" width="17.5555555555556" customWidth="1"/>
  </cols>
  <sheetData>
    <row r="1" ht="33.6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/>
      <c r="R1" s="23"/>
      <c r="S1" s="24"/>
      <c r="U1" s="25"/>
    </row>
    <row r="2" ht="23.4" spans="1:25">
      <c r="A2" s="4" t="s">
        <v>16</v>
      </c>
      <c r="B2" s="5" t="s">
        <v>17</v>
      </c>
      <c r="C2" s="5" t="s">
        <v>18</v>
      </c>
      <c r="D2" s="5" t="s">
        <v>19</v>
      </c>
      <c r="E2" s="6">
        <v>46152</v>
      </c>
      <c r="F2" s="5" t="s">
        <v>20</v>
      </c>
      <c r="G2" s="7">
        <v>2500</v>
      </c>
      <c r="H2" s="8" t="s">
        <v>21</v>
      </c>
      <c r="I2" s="20">
        <f>_xlfn.XLOOKUP(F2,[1]Sheet1!$A$2:$A$4,[1]Sheet1!$B$2:$B$4,"Not Found")</f>
        <v>5000</v>
      </c>
      <c r="J2" s="21" t="str">
        <f>IF(COUNTIFS(B:B,B2,E:E,E2,F:F,F2,G:G,G2)&gt;1,"Duplicate","Unique")</f>
        <v>Unique</v>
      </c>
      <c r="K2" s="21" t="str">
        <f t="shared" ref="K2:K11" si="0">IF(H2="Yes","Available","Missing")</f>
        <v>Available</v>
      </c>
      <c r="L2" s="21" t="str">
        <f t="shared" ref="L2:L11" si="1">IF(G2&gt;I2,"Exceeded","Within Limit")</f>
        <v>Within Limit</v>
      </c>
      <c r="M2" s="21" t="str">
        <f t="shared" ref="M2:M11" si="2">IF(OR(J2="Duplicate",K2="Missing",L2="Exceeded"),"High",IF(G2&gt;=I2*0.8,"Medium","Low"))</f>
        <v>Low</v>
      </c>
      <c r="N2" s="21" t="str">
        <f t="shared" ref="N2:N11" si="3">IF(OR(J2="Duplicate",K2="Missing",L2="Exceeded"),"Review Required","Approved")</f>
        <v>Approved</v>
      </c>
      <c r="O2" s="21" t="str">
        <f t="shared" ref="O2:O11" si="4">IF(J2="Duplicate","Possible duplicate claim",IF(K2="Missing","Receipt not provided",IF(L2="Exceeded","Amount exceeds policy limit",IF(M2="Medium","Verify high-value claim","No issues found"))))</f>
        <v>No issues found</v>
      </c>
      <c r="P2" s="22" t="str">
        <f t="shared" ref="P2:P11" si="5">IF(N2="Review Required","Pending Review","Completed")</f>
        <v>Completed</v>
      </c>
      <c r="Q2" s="26"/>
      <c r="R2" s="27" t="s">
        <v>22</v>
      </c>
      <c r="S2" s="19"/>
      <c r="T2" s="19"/>
      <c r="U2" s="19"/>
      <c r="V2" s="19"/>
      <c r="W2" s="19"/>
      <c r="X2" s="19"/>
      <c r="Y2" s="19"/>
    </row>
    <row r="3" ht="35" customHeight="1" spans="1:25">
      <c r="A3" s="9" t="s">
        <v>23</v>
      </c>
      <c r="B3" s="10" t="s">
        <v>24</v>
      </c>
      <c r="C3" s="10" t="s">
        <v>25</v>
      </c>
      <c r="D3" s="10" t="s">
        <v>26</v>
      </c>
      <c r="E3" s="11">
        <v>46152</v>
      </c>
      <c r="F3" s="10" t="s">
        <v>27</v>
      </c>
      <c r="G3" s="12">
        <v>1800</v>
      </c>
      <c r="H3" s="13" t="s">
        <v>28</v>
      </c>
      <c r="I3" s="20">
        <f>_xlfn.XLOOKUP(F3,[1]Sheet1!$A$2:$A$4,[1]Sheet1!$B$2:$B$4,"Not Found")</f>
        <v>2000</v>
      </c>
      <c r="J3" s="21" t="str">
        <f>IF(COUNTIFS(B:B,B3,E:E,E3,F:F,F3,G:G,G3)&gt;1,"Duplicate","Unique")</f>
        <v>Unique</v>
      </c>
      <c r="K3" s="21" t="str">
        <f t="shared" si="0"/>
        <v>Missing</v>
      </c>
      <c r="L3" s="21" t="str">
        <f t="shared" si="1"/>
        <v>Within Limit</v>
      </c>
      <c r="M3" s="21" t="str">
        <f t="shared" si="2"/>
        <v>High</v>
      </c>
      <c r="N3" s="21" t="str">
        <f t="shared" si="3"/>
        <v>Review Required</v>
      </c>
      <c r="O3" s="21" t="str">
        <f t="shared" si="4"/>
        <v>Receipt not provided</v>
      </c>
      <c r="P3" s="22" t="str">
        <f t="shared" si="5"/>
        <v>Pending Review</v>
      </c>
      <c r="Q3" s="26"/>
      <c r="R3" s="19"/>
      <c r="S3" s="19"/>
      <c r="T3" s="19"/>
      <c r="U3" s="19"/>
      <c r="V3" s="19"/>
      <c r="W3" s="19"/>
      <c r="X3" s="19"/>
      <c r="Y3" s="19"/>
    </row>
    <row r="4" ht="42" customHeight="1" spans="1:25">
      <c r="A4" s="4" t="s">
        <v>29</v>
      </c>
      <c r="B4" s="5" t="s">
        <v>30</v>
      </c>
      <c r="C4" s="5" t="s">
        <v>31</v>
      </c>
      <c r="D4" s="5" t="s">
        <v>32</v>
      </c>
      <c r="E4" s="6">
        <v>46183</v>
      </c>
      <c r="F4" s="5" t="s">
        <v>33</v>
      </c>
      <c r="G4" s="7">
        <v>12000</v>
      </c>
      <c r="H4" s="8" t="s">
        <v>21</v>
      </c>
      <c r="I4" s="20">
        <f>_xlfn.XLOOKUP(F4,[1]Sheet1!$A$2:$A$4,[1]Sheet1!$B$2:$B$4,"Not Found")</f>
        <v>10000</v>
      </c>
      <c r="J4" s="21" t="str">
        <f>IF(COUNTIFS(B:B,B4,E:E,E4,F:F,F4,G:G,G4)&gt;1,"Duplicate","Unique")</f>
        <v>Unique</v>
      </c>
      <c r="K4" s="21" t="str">
        <f t="shared" si="0"/>
        <v>Available</v>
      </c>
      <c r="L4" s="21" t="str">
        <f t="shared" si="1"/>
        <v>Exceeded</v>
      </c>
      <c r="M4" s="21" t="str">
        <f t="shared" si="2"/>
        <v>High</v>
      </c>
      <c r="N4" s="21" t="str">
        <f t="shared" si="3"/>
        <v>Review Required</v>
      </c>
      <c r="O4" s="21" t="str">
        <f t="shared" si="4"/>
        <v>Amount exceeds policy limit</v>
      </c>
      <c r="P4" s="22" t="str">
        <f t="shared" si="5"/>
        <v>Pending Review</v>
      </c>
      <c r="Q4" s="26"/>
      <c r="R4" s="28" t="s">
        <v>34</v>
      </c>
      <c r="S4" s="29">
        <f>COUNTA(A2:A11)</f>
        <v>10</v>
      </c>
      <c r="T4" s="30" t="s">
        <v>35</v>
      </c>
      <c r="U4" s="31">
        <f>SUM(G2:G11)</f>
        <v>53200</v>
      </c>
      <c r="V4" s="32" t="s">
        <v>36</v>
      </c>
      <c r="W4" s="33">
        <f>COUNTIF(M2:M11,"High")</f>
        <v>4</v>
      </c>
      <c r="X4" s="34" t="s">
        <v>37</v>
      </c>
      <c r="Y4" s="42">
        <f>COUNTIF(N2:N11,"Review Required")</f>
        <v>4</v>
      </c>
    </row>
    <row r="5" spans="1:25">
      <c r="A5" s="9" t="s">
        <v>38</v>
      </c>
      <c r="B5" s="10" t="s">
        <v>17</v>
      </c>
      <c r="C5" s="10" t="s">
        <v>39</v>
      </c>
      <c r="D5" s="10" t="s">
        <v>19</v>
      </c>
      <c r="E5" s="11">
        <v>46183</v>
      </c>
      <c r="F5" s="10" t="s">
        <v>20</v>
      </c>
      <c r="G5" s="12">
        <v>2500</v>
      </c>
      <c r="H5" s="13" t="s">
        <v>21</v>
      </c>
      <c r="I5" s="20">
        <f>_xlfn.XLOOKUP(F5,[1]Sheet1!$A$2:$A$4,[1]Sheet1!$B$2:$B$4,"Not Found")</f>
        <v>5000</v>
      </c>
      <c r="J5" s="21" t="str">
        <f>IF(COUNTIFS(B:B,B5,E:E,E5,F:F,F5,G:G,G5)&gt;1,"Duplicate","Unique")</f>
        <v>Unique</v>
      </c>
      <c r="K5" s="21" t="str">
        <f t="shared" si="0"/>
        <v>Available</v>
      </c>
      <c r="L5" s="21" t="str">
        <f t="shared" si="1"/>
        <v>Within Limit</v>
      </c>
      <c r="M5" s="21" t="str">
        <f t="shared" si="2"/>
        <v>Low</v>
      </c>
      <c r="N5" s="21" t="str">
        <f t="shared" si="3"/>
        <v>Approved</v>
      </c>
      <c r="O5" s="21" t="str">
        <f t="shared" si="4"/>
        <v>No issues found</v>
      </c>
      <c r="P5" s="22" t="str">
        <f t="shared" si="5"/>
        <v>Completed</v>
      </c>
      <c r="Q5" s="26"/>
      <c r="R5" s="19"/>
      <c r="S5" s="19"/>
      <c r="T5" s="19"/>
      <c r="U5" s="19"/>
      <c r="V5" s="19"/>
      <c r="W5" s="19"/>
      <c r="X5" s="19"/>
      <c r="Y5" s="19"/>
    </row>
    <row r="6" spans="1:25">
      <c r="A6" s="4" t="s">
        <v>40</v>
      </c>
      <c r="B6" s="5" t="s">
        <v>41</v>
      </c>
      <c r="C6" s="5" t="s">
        <v>42</v>
      </c>
      <c r="D6" s="5" t="s">
        <v>43</v>
      </c>
      <c r="E6" s="6">
        <v>46183</v>
      </c>
      <c r="F6" s="5" t="s">
        <v>27</v>
      </c>
      <c r="G6" s="5">
        <v>750</v>
      </c>
      <c r="H6" s="8" t="s">
        <v>21</v>
      </c>
      <c r="I6" s="20">
        <f>_xlfn.XLOOKUP(F6,[1]Sheet1!$A$2:$A$4,[1]Sheet1!$B$2:$B$4,"Not Found")</f>
        <v>2000</v>
      </c>
      <c r="J6" s="21" t="str">
        <f>IF(COUNTIFS(B:B,B6,E:E,E6,F:F,F6,G:G,G6)&gt;1,"Duplicate","Unique")</f>
        <v>Unique</v>
      </c>
      <c r="K6" s="21" t="str">
        <f t="shared" si="0"/>
        <v>Available</v>
      </c>
      <c r="L6" s="21" t="str">
        <f t="shared" si="1"/>
        <v>Within Limit</v>
      </c>
      <c r="M6" s="21" t="str">
        <f t="shared" si="2"/>
        <v>Low</v>
      </c>
      <c r="N6" s="21" t="str">
        <f t="shared" si="3"/>
        <v>Approved</v>
      </c>
      <c r="O6" s="21" t="str">
        <f t="shared" si="4"/>
        <v>No issues found</v>
      </c>
      <c r="P6" s="22" t="str">
        <f t="shared" si="5"/>
        <v>Completed</v>
      </c>
      <c r="Q6" s="26"/>
      <c r="R6" s="19"/>
      <c r="S6" s="19"/>
      <c r="T6" s="19"/>
      <c r="U6" s="19"/>
      <c r="V6" s="19"/>
      <c r="W6" s="19"/>
      <c r="X6" s="19"/>
      <c r="Y6" s="19"/>
    </row>
    <row r="7" ht="17.4" spans="1:25">
      <c r="A7" s="9" t="s">
        <v>44</v>
      </c>
      <c r="B7" s="10" t="s">
        <v>45</v>
      </c>
      <c r="C7" s="10" t="s">
        <v>46</v>
      </c>
      <c r="D7" s="10" t="s">
        <v>47</v>
      </c>
      <c r="E7" s="11">
        <v>46213</v>
      </c>
      <c r="F7" s="10" t="s">
        <v>33</v>
      </c>
      <c r="G7" s="12">
        <v>6500</v>
      </c>
      <c r="H7" s="13" t="s">
        <v>21</v>
      </c>
      <c r="I7" s="20">
        <f>_xlfn.XLOOKUP(F7,[1]Sheet1!$A$2:$A$4,[1]Sheet1!$B$2:$B$4,"Not Found")</f>
        <v>10000</v>
      </c>
      <c r="J7" s="21" t="str">
        <f>IF(COUNTIFS(B:B,B7,E:E,E7,F:F,F7,G:G,G7)&gt;1,"Duplicate","Unique")</f>
        <v>Unique</v>
      </c>
      <c r="K7" s="21" t="str">
        <f t="shared" si="0"/>
        <v>Available</v>
      </c>
      <c r="L7" s="21" t="str">
        <f t="shared" si="1"/>
        <v>Within Limit</v>
      </c>
      <c r="M7" s="21" t="str">
        <f t="shared" si="2"/>
        <v>Low</v>
      </c>
      <c r="N7" s="21" t="str">
        <f t="shared" si="3"/>
        <v>Approved</v>
      </c>
      <c r="O7" s="21" t="str">
        <f t="shared" si="4"/>
        <v>No issues found</v>
      </c>
      <c r="P7" s="22" t="str">
        <f t="shared" si="5"/>
        <v>Completed</v>
      </c>
      <c r="Q7" s="26"/>
      <c r="R7" s="35" t="s">
        <v>48</v>
      </c>
      <c r="S7" s="19"/>
      <c r="T7" s="19"/>
      <c r="U7" s="35" t="s">
        <v>49</v>
      </c>
      <c r="V7" s="19"/>
      <c r="W7" s="19"/>
      <c r="X7" s="35" t="s">
        <v>50</v>
      </c>
      <c r="Y7" s="19"/>
    </row>
    <row r="8" spans="1:25">
      <c r="A8" s="4" t="s">
        <v>51</v>
      </c>
      <c r="B8" s="5" t="s">
        <v>52</v>
      </c>
      <c r="C8" s="5" t="s">
        <v>53</v>
      </c>
      <c r="D8" s="5" t="s">
        <v>54</v>
      </c>
      <c r="E8" s="6">
        <v>46213</v>
      </c>
      <c r="F8" s="5" t="s">
        <v>20</v>
      </c>
      <c r="G8" s="7">
        <v>8000</v>
      </c>
      <c r="H8" s="8" t="s">
        <v>28</v>
      </c>
      <c r="I8" s="20">
        <f>_xlfn.XLOOKUP(F8,[1]Sheet1!$A$2:$A$4,[1]Sheet1!$B$2:$B$4,"Not Found")</f>
        <v>5000</v>
      </c>
      <c r="J8" s="21" t="str">
        <f>IF(COUNTIFS(B:B,B8,E:E,E8,F:F,F8,G:G,G8)&gt;1,"Duplicate","Unique")</f>
        <v>Unique</v>
      </c>
      <c r="K8" s="21" t="str">
        <f t="shared" si="0"/>
        <v>Missing</v>
      </c>
      <c r="L8" s="21" t="str">
        <f t="shared" si="1"/>
        <v>Exceeded</v>
      </c>
      <c r="M8" s="21" t="str">
        <f t="shared" si="2"/>
        <v>High</v>
      </c>
      <c r="N8" s="21" t="str">
        <f t="shared" si="3"/>
        <v>Review Required</v>
      </c>
      <c r="O8" s="21" t="str">
        <f t="shared" si="4"/>
        <v>Receipt not provided</v>
      </c>
      <c r="P8" s="22" t="str">
        <f t="shared" si="5"/>
        <v>Pending Review</v>
      </c>
      <c r="Q8" s="26"/>
      <c r="R8" s="36" t="s">
        <v>55</v>
      </c>
      <c r="S8" s="36" t="s">
        <v>56</v>
      </c>
      <c r="T8" s="19"/>
      <c r="U8" s="36" t="s">
        <v>5</v>
      </c>
      <c r="V8" s="36" t="s">
        <v>57</v>
      </c>
      <c r="W8" s="19"/>
      <c r="X8" s="36" t="s">
        <v>12</v>
      </c>
      <c r="Y8" s="36" t="s">
        <v>58</v>
      </c>
    </row>
    <row r="9" spans="1:25">
      <c r="A9" s="9" t="s">
        <v>59</v>
      </c>
      <c r="B9" s="10" t="s">
        <v>24</v>
      </c>
      <c r="C9" s="10" t="s">
        <v>60</v>
      </c>
      <c r="D9" s="10" t="s">
        <v>26</v>
      </c>
      <c r="E9" s="11">
        <v>46244</v>
      </c>
      <c r="F9" s="10" t="s">
        <v>27</v>
      </c>
      <c r="G9" s="10">
        <v>950</v>
      </c>
      <c r="H9" s="13" t="s">
        <v>21</v>
      </c>
      <c r="I9" s="20">
        <f>_xlfn.XLOOKUP(F9,[1]Sheet1!$A$2:$A$4,[1]Sheet1!$B$2:$B$4,"Not Found")</f>
        <v>2000</v>
      </c>
      <c r="J9" s="21" t="str">
        <f>IF(COUNTIFS(B:B,B9,E:E,E9,F:F,F9,G:G,G9)&gt;1,"Duplicate","Unique")</f>
        <v>Unique</v>
      </c>
      <c r="K9" s="21" t="str">
        <f t="shared" si="0"/>
        <v>Available</v>
      </c>
      <c r="L9" s="21" t="str">
        <f t="shared" si="1"/>
        <v>Within Limit</v>
      </c>
      <c r="M9" s="21" t="str">
        <f t="shared" si="2"/>
        <v>Low</v>
      </c>
      <c r="N9" s="21" t="str">
        <f t="shared" si="3"/>
        <v>Approved</v>
      </c>
      <c r="O9" s="21" t="str">
        <f t="shared" si="4"/>
        <v>No issues found</v>
      </c>
      <c r="P9" s="22" t="str">
        <f t="shared" si="5"/>
        <v>Completed</v>
      </c>
      <c r="R9" s="37" t="s">
        <v>61</v>
      </c>
      <c r="S9">
        <f>COUNTIF(K2:K11,"Missing")</f>
        <v>2</v>
      </c>
      <c r="T9" s="19"/>
      <c r="U9" s="37" t="s">
        <v>20</v>
      </c>
      <c r="V9">
        <f>SUMIF($F$2:$F$11,"Travel",$G$2:$G$11)</f>
        <v>16200</v>
      </c>
      <c r="W9" s="19"/>
      <c r="X9" s="37" t="s">
        <v>62</v>
      </c>
      <c r="Y9">
        <f>COUNTIF($M$2:$M$11,"High")</f>
        <v>4</v>
      </c>
    </row>
    <row r="10" spans="1:25">
      <c r="A10" s="4" t="s">
        <v>63</v>
      </c>
      <c r="B10" s="5" t="s">
        <v>64</v>
      </c>
      <c r="C10" s="5" t="s">
        <v>65</v>
      </c>
      <c r="D10" s="5" t="s">
        <v>32</v>
      </c>
      <c r="E10" s="6">
        <v>46244</v>
      </c>
      <c r="F10" s="5" t="s">
        <v>20</v>
      </c>
      <c r="G10" s="7">
        <v>3200</v>
      </c>
      <c r="H10" s="8" t="s">
        <v>21</v>
      </c>
      <c r="I10" s="20">
        <f>_xlfn.XLOOKUP(F10,[1]Sheet1!$A$2:$A$4,[1]Sheet1!$B$2:$B$4,"Not Found")</f>
        <v>5000</v>
      </c>
      <c r="J10" s="21" t="str">
        <f>IF(COUNTIFS(B:B,B10,E:E,E10,F:F,F10,G:G,G10)&gt;1,"Duplicate","Unique")</f>
        <v>Unique</v>
      </c>
      <c r="K10" s="21" t="str">
        <f t="shared" si="0"/>
        <v>Available</v>
      </c>
      <c r="L10" s="21" t="str">
        <f t="shared" si="1"/>
        <v>Within Limit</v>
      </c>
      <c r="M10" s="21" t="str">
        <f t="shared" si="2"/>
        <v>Low</v>
      </c>
      <c r="N10" s="21" t="str">
        <f t="shared" si="3"/>
        <v>Approved</v>
      </c>
      <c r="O10" s="21" t="str">
        <f t="shared" si="4"/>
        <v>No issues found</v>
      </c>
      <c r="P10" s="22" t="str">
        <f t="shared" si="5"/>
        <v>Completed</v>
      </c>
      <c r="R10" s="37" t="s">
        <v>66</v>
      </c>
      <c r="S10">
        <f>COUNTIF(L2:L11,"Exceeded")</f>
        <v>3</v>
      </c>
      <c r="T10" s="19"/>
      <c r="U10" s="37" t="s">
        <v>27</v>
      </c>
      <c r="V10">
        <f>SUMIF($F$2:$F$11,"Food",$G$2:$G$11)</f>
        <v>3500</v>
      </c>
      <c r="W10" s="19"/>
      <c r="X10" s="37" t="s">
        <v>67</v>
      </c>
      <c r="Y10">
        <f>COUNTIF($M$2:$M$11,"Medium")</f>
        <v>0</v>
      </c>
    </row>
    <row r="11" ht="28.8" spans="1:25">
      <c r="A11" s="14" t="s">
        <v>68</v>
      </c>
      <c r="B11" s="15" t="s">
        <v>69</v>
      </c>
      <c r="C11" s="15" t="s">
        <v>70</v>
      </c>
      <c r="D11" s="15" t="s">
        <v>19</v>
      </c>
      <c r="E11" s="16">
        <v>46275</v>
      </c>
      <c r="F11" s="15" t="s">
        <v>33</v>
      </c>
      <c r="G11" s="17">
        <v>15000</v>
      </c>
      <c r="H11" s="18" t="s">
        <v>21</v>
      </c>
      <c r="I11" s="20">
        <f>_xlfn.XLOOKUP(F11,[1]Sheet1!$A$2:$A$4,[1]Sheet1!$B$2:$B$4,"Not Found")</f>
        <v>10000</v>
      </c>
      <c r="J11" s="21" t="str">
        <f>IF(COUNTIFS(B:B,B11,E:E,E11,F:F,F11,G:G,G11)&gt;1,"Duplicate","Unique")</f>
        <v>Unique</v>
      </c>
      <c r="K11" s="21" t="str">
        <f t="shared" si="0"/>
        <v>Available</v>
      </c>
      <c r="L11" s="21" t="str">
        <f t="shared" si="1"/>
        <v>Exceeded</v>
      </c>
      <c r="M11" s="21" t="str">
        <f t="shared" si="2"/>
        <v>High</v>
      </c>
      <c r="N11" s="21" t="str">
        <f t="shared" si="3"/>
        <v>Review Required</v>
      </c>
      <c r="O11" s="21" t="str">
        <f t="shared" si="4"/>
        <v>Amount exceeds policy limit</v>
      </c>
      <c r="P11" s="22" t="str">
        <f t="shared" si="5"/>
        <v>Pending Review</v>
      </c>
      <c r="R11" s="37" t="s">
        <v>71</v>
      </c>
      <c r="S11">
        <f>COUNTIF(N2:N11,"Approved")</f>
        <v>6</v>
      </c>
      <c r="T11" s="19"/>
      <c r="U11" s="37" t="s">
        <v>33</v>
      </c>
      <c r="V11">
        <f>SUMIF($F$2:$F$11,"Hotel",$G$2:$G$11)</f>
        <v>33500</v>
      </c>
      <c r="W11" s="19"/>
      <c r="X11" s="37" t="s">
        <v>72</v>
      </c>
      <c r="Y11">
        <f>COUNTIF($M$2:$M$11,"Low")</f>
        <v>6</v>
      </c>
    </row>
    <row r="12" spans="18:25">
      <c r="R12" s="37" t="s">
        <v>73</v>
      </c>
      <c r="S12">
        <f>COUNTIF(N2:N11,"Review Required")</f>
        <v>4</v>
      </c>
      <c r="T12" s="19"/>
      <c r="U12" s="19"/>
      <c r="V12" s="19"/>
      <c r="W12" s="19"/>
      <c r="X12" s="19"/>
      <c r="Y12" s="19"/>
    </row>
    <row r="13" spans="18:25">
      <c r="R13" s="37" t="s">
        <v>74</v>
      </c>
      <c r="S13" s="38">
        <f>SUM(G2:G11)</f>
        <v>53200</v>
      </c>
      <c r="T13" s="19"/>
      <c r="U13" s="19"/>
      <c r="V13" s="19"/>
      <c r="W13" s="19"/>
      <c r="X13" s="19"/>
      <c r="Y13" s="19"/>
    </row>
    <row r="14" spans="1:25">
      <c r="A14" s="19"/>
      <c r="B14" s="19"/>
      <c r="C14" s="19"/>
      <c r="D14" s="19"/>
      <c r="E14" s="19"/>
      <c r="F14" s="19"/>
      <c r="G14" s="19"/>
      <c r="H14" s="19"/>
      <c r="R14" s="19"/>
      <c r="S14" s="19"/>
      <c r="T14" s="19"/>
      <c r="U14" s="19"/>
      <c r="V14" s="19"/>
      <c r="W14" s="19"/>
      <c r="X14" s="19"/>
      <c r="Y14" s="19"/>
    </row>
    <row r="15" spans="1:25">
      <c r="A15" s="19"/>
      <c r="B15" s="19"/>
      <c r="C15" s="19"/>
      <c r="D15" s="19"/>
      <c r="E15" s="19"/>
      <c r="F15" s="19"/>
      <c r="G15" s="19"/>
      <c r="H15" s="19"/>
      <c r="R15" s="19"/>
      <c r="S15" s="19"/>
      <c r="T15" s="19"/>
      <c r="U15" s="19"/>
      <c r="V15" s="19"/>
      <c r="W15" s="19"/>
      <c r="X15" s="19"/>
      <c r="Y15" s="19"/>
    </row>
    <row r="16" spans="1:25">
      <c r="A16" s="19"/>
      <c r="B16" s="19"/>
      <c r="C16" s="19"/>
      <c r="D16" s="19"/>
      <c r="E16" s="19"/>
      <c r="F16" s="19"/>
      <c r="G16" s="19"/>
      <c r="H16" s="19"/>
      <c r="R16" s="19"/>
      <c r="S16" s="19"/>
      <c r="T16" s="19"/>
      <c r="U16" s="19"/>
      <c r="V16" s="19"/>
      <c r="W16" s="19"/>
      <c r="X16" s="19"/>
      <c r="Y16" s="19"/>
    </row>
    <row r="17" spans="1:25">
      <c r="A17" s="19"/>
      <c r="B17" s="19"/>
      <c r="C17" s="19"/>
      <c r="D17" s="19"/>
      <c r="E17" s="19"/>
      <c r="F17" s="19"/>
      <c r="G17" s="19"/>
      <c r="H17" s="19"/>
      <c r="R17" s="19"/>
      <c r="S17" s="19"/>
      <c r="T17" s="19"/>
      <c r="U17" s="19"/>
      <c r="V17" s="19"/>
      <c r="W17" s="19"/>
      <c r="X17" s="19"/>
      <c r="Y17" s="19"/>
    </row>
    <row r="18" spans="1:25">
      <c r="A18" s="19"/>
      <c r="B18" s="19"/>
      <c r="C18" s="19"/>
      <c r="D18" s="19"/>
      <c r="E18" s="19"/>
      <c r="F18" s="19"/>
      <c r="G18" s="19"/>
      <c r="H18" s="19"/>
      <c r="R18" s="19"/>
      <c r="S18" s="19"/>
      <c r="T18" s="19"/>
      <c r="U18" s="19"/>
      <c r="V18" s="19"/>
      <c r="W18" s="19"/>
      <c r="X18" s="19"/>
      <c r="Y18" s="19"/>
    </row>
    <row r="19" spans="1:25">
      <c r="A19" s="19"/>
      <c r="B19" s="19"/>
      <c r="C19" s="19"/>
      <c r="D19" s="19"/>
      <c r="E19" s="19"/>
      <c r="F19" s="19"/>
      <c r="G19" s="19"/>
      <c r="H19" s="19"/>
      <c r="R19" s="19"/>
      <c r="S19" s="19"/>
      <c r="T19" s="19"/>
      <c r="U19" s="19"/>
      <c r="V19" s="19"/>
      <c r="W19" s="19"/>
      <c r="X19" s="19"/>
      <c r="Y19" s="19"/>
    </row>
    <row r="20" spans="1:25">
      <c r="A20" s="19"/>
      <c r="B20" s="19"/>
      <c r="C20" s="19"/>
      <c r="D20" s="19"/>
      <c r="E20" s="19"/>
      <c r="F20" s="19"/>
      <c r="G20" s="19"/>
      <c r="H20" s="19"/>
      <c r="R20" s="19"/>
      <c r="S20" s="19"/>
      <c r="T20" s="19"/>
      <c r="U20" s="19"/>
      <c r="V20" s="19"/>
      <c r="W20" s="19"/>
      <c r="X20" s="19"/>
      <c r="Y20" s="19"/>
    </row>
    <row r="21" spans="1:25">
      <c r="A21" s="19"/>
      <c r="B21" s="19"/>
      <c r="C21" s="19"/>
      <c r="D21" s="19"/>
      <c r="E21" s="19"/>
      <c r="F21" s="19"/>
      <c r="G21" s="19"/>
      <c r="H21" s="19"/>
      <c r="R21" s="19"/>
      <c r="S21" s="19"/>
      <c r="T21" s="19"/>
      <c r="U21" s="19"/>
      <c r="V21" s="19"/>
      <c r="W21" s="19"/>
      <c r="X21" s="19"/>
      <c r="Y21" s="19"/>
    </row>
    <row r="22" spans="18:25">
      <c r="R22" s="19"/>
      <c r="S22" s="19"/>
      <c r="T22" s="19"/>
      <c r="U22" s="19"/>
      <c r="V22" s="19"/>
      <c r="W22" s="19"/>
      <c r="X22" s="19"/>
      <c r="Y22" s="19"/>
    </row>
    <row r="23" spans="18:25">
      <c r="R23" s="19"/>
      <c r="S23" s="19"/>
      <c r="T23" s="19"/>
      <c r="U23" s="19"/>
      <c r="V23" s="19"/>
      <c r="W23" s="19"/>
      <c r="X23" s="19"/>
      <c r="Y23" s="19"/>
    </row>
    <row r="24" spans="18:25">
      <c r="R24" s="19"/>
      <c r="S24" s="19"/>
      <c r="T24" s="19"/>
      <c r="U24" s="19"/>
      <c r="V24" s="19"/>
      <c r="W24" s="19"/>
      <c r="X24" s="19"/>
      <c r="Y24" s="19"/>
    </row>
    <row r="25" spans="18:25">
      <c r="R25" s="19"/>
      <c r="S25" s="19"/>
      <c r="T25" s="19"/>
      <c r="U25" s="19"/>
      <c r="V25" s="19"/>
      <c r="W25" s="19"/>
      <c r="X25" s="19"/>
      <c r="Y25" s="19"/>
    </row>
    <row r="26" spans="18:25">
      <c r="R26" s="19"/>
      <c r="S26" s="19"/>
      <c r="T26" s="19"/>
      <c r="U26" s="19"/>
      <c r="V26" s="19"/>
      <c r="W26" s="19"/>
      <c r="X26" s="19"/>
      <c r="Y26" s="19"/>
    </row>
    <row r="27" spans="18:25">
      <c r="R27" s="19"/>
      <c r="S27" s="19"/>
      <c r="T27" s="19"/>
      <c r="U27" s="19"/>
      <c r="V27" s="19"/>
      <c r="W27" s="19"/>
      <c r="X27" s="19"/>
      <c r="Y27" s="19"/>
    </row>
    <row r="28" spans="18:25">
      <c r="R28" s="19"/>
      <c r="S28" s="19"/>
      <c r="T28" s="19"/>
      <c r="U28" s="19"/>
      <c r="V28" s="19"/>
      <c r="W28" s="19"/>
      <c r="X28" s="19"/>
      <c r="Y28" s="19"/>
    </row>
    <row r="29" spans="18:25">
      <c r="R29" s="19"/>
      <c r="S29" s="19"/>
      <c r="T29" s="19"/>
      <c r="U29" s="19"/>
      <c r="V29" s="19"/>
      <c r="W29" s="19"/>
      <c r="X29" s="19"/>
      <c r="Y29" s="19"/>
    </row>
    <row r="30" ht="36.6" spans="19:22">
      <c r="S30" s="39"/>
      <c r="T30" s="40"/>
      <c r="U30" s="41"/>
      <c r="V30" s="41"/>
    </row>
    <row r="31" ht="36.6" spans="19:22">
      <c r="S31" s="39"/>
      <c r="T31" s="41"/>
      <c r="U31" s="41"/>
      <c r="V31" s="41"/>
    </row>
    <row r="32" ht="36.6" spans="19:22">
      <c r="S32" s="39"/>
      <c r="T32" s="41"/>
      <c r="U32" s="41"/>
      <c r="V32" s="41"/>
    </row>
    <row r="33" ht="36.6" spans="20:22">
      <c r="T33" s="39"/>
      <c r="U33" s="39"/>
      <c r="V33" s="39"/>
    </row>
  </sheetData>
  <mergeCells count="1">
    <mergeCell ref="R2:Y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Varsha gk</cp:lastModifiedBy>
  <dcterms:created xsi:type="dcterms:W3CDTF">2026-10-10T06:42:20Z</dcterms:created>
  <dcterms:modified xsi:type="dcterms:W3CDTF">2026-10-10T11:03:45Z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D7E9EF4C96CB44E79E3A2C01050191FF_11</vt:lpwstr>
  </property>
  <property fmtid="{D5CDD505-2E9C-101B-9397-08002B2CF9AE}" pid="3" name="KSOProductBuildVer">
    <vt:lpwstr>2057-12.2.0.23206</vt:lpwstr>
  </property>
</Properties>
</file>